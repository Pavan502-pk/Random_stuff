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" sheetId="1" r:id="rId4"/>
    <sheet state="visible" name="Calculations" sheetId="2" r:id="rId5"/>
    <sheet state="visible" name="Investments" sheetId="3" r:id="rId6"/>
    <sheet state="visible" name="Employee Details" sheetId="4" r:id="rId7"/>
  </sheets>
  <definedNames/>
  <calcPr/>
  <extLst>
    <ext uri="GoogleSheetsCustomDataVersion2">
      <go:sheetsCustomData xmlns:go="http://customooxmlschemas.google.com/" r:id="rId8" roundtripDataChecksum="HyxWk/kFxiqIg/Z0p3tvrvFRLUbG5jM/Wb14CG/yhmg="/>
    </ext>
  </extLst>
</workbook>
</file>

<file path=xl/sharedStrings.xml><?xml version="1.0" encoding="utf-8"?>
<sst xmlns="http://schemas.openxmlformats.org/spreadsheetml/2006/main" count="260" uniqueCount="155">
  <si>
    <t>YEAR</t>
  </si>
  <si>
    <t>MONTH</t>
  </si>
  <si>
    <t>INCOME</t>
  </si>
  <si>
    <t>DEDUCTIONS</t>
  </si>
  <si>
    <t>Employer PF Share</t>
  </si>
  <si>
    <t>Pension Share</t>
  </si>
  <si>
    <t>Net Income</t>
  </si>
  <si>
    <t>BASIC</t>
  </si>
  <si>
    <t>HRA</t>
  </si>
  <si>
    <t>MCA</t>
  </si>
  <si>
    <t>Bonus</t>
  </si>
  <si>
    <t>CEA</t>
  </si>
  <si>
    <t>Other Allowance</t>
  </si>
  <si>
    <t>Shift/Oncall</t>
  </si>
  <si>
    <t>Leave Encash</t>
  </si>
  <si>
    <t>Other Earning</t>
  </si>
  <si>
    <t>Special Allowance</t>
  </si>
  <si>
    <t>Internet Allowance</t>
  </si>
  <si>
    <t xml:space="preserve">Reimbursement </t>
  </si>
  <si>
    <t>Gross Income</t>
  </si>
  <si>
    <t>Employee PF Share</t>
  </si>
  <si>
    <t>Prof Tax</t>
  </si>
  <si>
    <t>Income Tax</t>
  </si>
  <si>
    <t>JUL</t>
  </si>
  <si>
    <t>AUG</t>
  </si>
  <si>
    <t>SEP</t>
  </si>
  <si>
    <t>DEC</t>
  </si>
  <si>
    <t>JAN</t>
  </si>
  <si>
    <t>FEB</t>
  </si>
  <si>
    <t>MAR</t>
  </si>
  <si>
    <t>APR</t>
  </si>
  <si>
    <t>MAY</t>
  </si>
  <si>
    <t>JUN</t>
  </si>
  <si>
    <t>OCT</t>
  </si>
  <si>
    <t>NOV</t>
  </si>
  <si>
    <t>Employee PF</t>
  </si>
  <si>
    <t>Employer PF</t>
  </si>
  <si>
    <t>PF Total</t>
  </si>
  <si>
    <t>Yearly Total</t>
  </si>
  <si>
    <t>Employer</t>
  </si>
  <si>
    <t>Employment-Type</t>
  </si>
  <si>
    <t>PF 
(Employee + Employer)</t>
  </si>
  <si>
    <t>Net Income+ PF</t>
  </si>
  <si>
    <t>Professional Tax</t>
  </si>
  <si>
    <t>Pension</t>
  </si>
  <si>
    <t>Over All Gross
(TakeHome + PF + Tax + Pension)</t>
  </si>
  <si>
    <t>Assessment Year</t>
  </si>
  <si>
    <t>Financial Year</t>
  </si>
  <si>
    <t>Tax Year</t>
  </si>
  <si>
    <t>Overall Amount</t>
  </si>
  <si>
    <t>Volante</t>
  </si>
  <si>
    <t>Internship</t>
  </si>
  <si>
    <t>2024-2025</t>
  </si>
  <si>
    <t>Apr 2023 - Mar 2024</t>
  </si>
  <si>
    <t>2023-2024</t>
  </si>
  <si>
    <t>Full Time</t>
  </si>
  <si>
    <t>2025-2026</t>
  </si>
  <si>
    <t>Apr 2024 - Mar 2025</t>
  </si>
  <si>
    <t>Factset</t>
  </si>
  <si>
    <t>2026-2027</t>
  </si>
  <si>
    <t>Apr 2025 - Mar 2026</t>
  </si>
  <si>
    <t>Hca</t>
  </si>
  <si>
    <t>2027-2028</t>
  </si>
  <si>
    <t>Apr 2026 - Mar 2027</t>
  </si>
  <si>
    <t>Total</t>
  </si>
  <si>
    <t>Scheme</t>
  </si>
  <si>
    <t>Age ot Entry</t>
  </si>
  <si>
    <t>Age at Exit</t>
  </si>
  <si>
    <t>First Installment</t>
  </si>
  <si>
    <t>Last Installment</t>
  </si>
  <si>
    <t>Maturity On</t>
  </si>
  <si>
    <t>Rate of Interest (%)</t>
  </si>
  <si>
    <t>Tenure</t>
  </si>
  <si>
    <t>Insurance</t>
  </si>
  <si>
    <t>Invested Amount</t>
  </si>
  <si>
    <t>Expected Corpus</t>
  </si>
  <si>
    <t>CAGR</t>
  </si>
  <si>
    <t>XIRR</t>
  </si>
  <si>
    <t>Person</t>
  </si>
  <si>
    <t>Relation</t>
  </si>
  <si>
    <t>Organisation</t>
  </si>
  <si>
    <t>Scheme Name</t>
  </si>
  <si>
    <t>Monthly</t>
  </si>
  <si>
    <t>Yearly</t>
  </si>
  <si>
    <t>Amount</t>
  </si>
  <si>
    <t>Upto</t>
  </si>
  <si>
    <t>Quarterly</t>
  </si>
  <si>
    <t>Half-Yearly</t>
  </si>
  <si>
    <t>On Maturity</t>
  </si>
  <si>
    <t>Pavan Kalyan Mahanty</t>
  </si>
  <si>
    <t>Self</t>
  </si>
  <si>
    <t>Postal Life Insurance</t>
  </si>
  <si>
    <t>Santosh</t>
  </si>
  <si>
    <t>N.A.</t>
  </si>
  <si>
    <t>22 Years</t>
  </si>
  <si>
    <t>10,00,000</t>
  </si>
  <si>
    <t>Policy ends</t>
  </si>
  <si>
    <t>9,37,200</t>
  </si>
  <si>
    <t>21,44,000</t>
  </si>
  <si>
    <t>Life Insurance Corporation</t>
  </si>
  <si>
    <t>Jeevan Anand</t>
  </si>
  <si>
    <t>23 Years</t>
  </si>
  <si>
    <t>5,00,000</t>
  </si>
  <si>
    <t>Life Long</t>
  </si>
  <si>
    <t>5,77,806</t>
  </si>
  <si>
    <t>11,54,000</t>
  </si>
  <si>
    <t>Tumala Mahanty</t>
  </si>
  <si>
    <t>Mother</t>
  </si>
  <si>
    <t>16 Years</t>
  </si>
  <si>
    <t>1,00,000</t>
  </si>
  <si>
    <t>1,40,032</t>
  </si>
  <si>
    <t>1,74,000</t>
  </si>
  <si>
    <t>Post Office</t>
  </si>
  <si>
    <t>Time Deposit</t>
  </si>
  <si>
    <t>2 Years</t>
  </si>
  <si>
    <t>3,00,000</t>
  </si>
  <si>
    <t>Employees' Provident Fund Organisation</t>
  </si>
  <si>
    <t>Employee Contribution</t>
  </si>
  <si>
    <t>36 Years</t>
  </si>
  <si>
    <t>7,00,000</t>
  </si>
  <si>
    <t>Retirement</t>
  </si>
  <si>
    <t>EmployeName</t>
  </si>
  <si>
    <t>Employe ID</t>
  </si>
  <si>
    <t>Company Location</t>
  </si>
  <si>
    <t>Role</t>
  </si>
  <si>
    <t>Bank Name</t>
  </si>
  <si>
    <t>Bank Acc.No</t>
  </si>
  <si>
    <t>Bank IFSC</t>
  </si>
  <si>
    <t>PF Member ID</t>
  </si>
  <si>
    <t>Service-History</t>
  </si>
  <si>
    <t>Start</t>
  </si>
  <si>
    <t>End</t>
  </si>
  <si>
    <t>Overall IT Experience</t>
  </si>
  <si>
    <t>VSINT057</t>
  </si>
  <si>
    <t>Chennai</t>
  </si>
  <si>
    <t>Software Engineer-Trainee</t>
  </si>
  <si>
    <t>Internship-Paid</t>
  </si>
  <si>
    <t>Union</t>
  </si>
  <si>
    <t>017510100180659</t>
  </si>
  <si>
    <t>UBIN0801755</t>
  </si>
  <si>
    <t>VS1550</t>
  </si>
  <si>
    <t>Hyderabad</t>
  </si>
  <si>
    <t>Production Support Engineer II</t>
  </si>
  <si>
    <t>HDFC</t>
  </si>
  <si>
    <t>50100629225079</t>
  </si>
  <si>
    <t>HDFC0008653</t>
  </si>
  <si>
    <t>APHYD21088260000011386</t>
  </si>
  <si>
    <t>Senior Specialist II</t>
  </si>
  <si>
    <t>ICICI</t>
  </si>
  <si>
    <t>755201503999</t>
  </si>
  <si>
    <t>ICIC0007552</t>
  </si>
  <si>
    <t>APHYD00618790000080403</t>
  </si>
  <si>
    <t>Hca HealthCare</t>
  </si>
  <si>
    <t>QGA2052</t>
  </si>
  <si>
    <t>Site Reliability Engineer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</si>
</sst>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\,##\,##0\ \ "/>
    <numFmt numFmtId="165" formatCode="&quot;₹&quot;\ #\,##\,##0\ \ "/>
    <numFmt numFmtId="166" formatCode="&quot;₹&quot;\ ###,##0\ \ "/>
    <numFmt numFmtId="167" formatCode="\₹\ 0"/>
    <numFmt numFmtId="168" formatCode="d/mmmm/yyyy"/>
    <numFmt numFmtId="169" formatCode="dd/mmmm/yyyy"/>
    <numFmt numFmtId="170" formatCode="dd/mmm/yyyy"/>
    <numFmt numFmtId="171" formatCode="[&gt;9999999]\₹##\,##\,##\,##0;[&gt;99999]\₹##\,##\,##0;\₹##,##0"/>
    <numFmt numFmtId="172" formatCode="d/mmm/yyyy"/>
    <numFmt numFmtId="173" formatCode="[&gt;9999999]##\,##\,##\,##0;[&gt;99999]##\,##\,##0;##,##0"/>
    <numFmt numFmtId="174" formatCode="[$₹]#,##0.00"/>
  </numFmts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31F81C"/>
        <bgColor rgb="FF31F81C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00FFFF"/>
        <bgColor rgb="FF00FFFF"/>
      </patternFill>
    </fill>
    <fill>
      <patternFill patternType="solid">
        <fgColor rgb="FF74FF17"/>
        <bgColor rgb="FF74FF17"/>
      </patternFill>
    </fill>
    <fill>
      <patternFill patternType="solid">
        <fgColor rgb="FF2AE5D6"/>
        <bgColor rgb="FF2AE5D6"/>
      </patternFill>
    </fill>
    <fill>
      <patternFill patternType="solid">
        <fgColor rgb="FF00FF00"/>
        <bgColor rgb="FF00FF00"/>
      </patternFill>
    </fill>
    <fill>
      <patternFill patternType="solid">
        <fgColor rgb="FF95FF6B"/>
        <bgColor rgb="FF95FF6B"/>
      </patternFill>
    </fill>
    <fill>
      <patternFill patternType="solid">
        <fgColor rgb="FFFFFFFF"/>
        <bgColor rgb="FFFFFFFF"/>
      </patternFill>
    </fill>
    <fill>
      <patternFill patternType="solid">
        <fgColor rgb="FF5BF846"/>
        <bgColor rgb="FF5BF846"/>
      </patternFill>
    </fill>
  </fills>
  <borders count="5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2" fontId="1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9" fillId="2" fontId="4" numFmtId="0" xfId="0" applyAlignment="1" applyBorder="1" applyFont="1">
      <alignment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4" fillId="0" fontId="5" numFmtId="3" xfId="0" applyAlignment="1" applyBorder="1" applyFont="1" applyNumberFormat="1">
      <alignment horizontal="center" vertical="center"/>
    </xf>
    <xf borderId="15" fillId="4" fontId="5" numFmtId="3" xfId="0" applyAlignment="1" applyBorder="1" applyFill="1" applyFont="1" applyNumberFormat="1">
      <alignment horizontal="center" shrinkToFit="0" vertical="center" wrapText="1"/>
    </xf>
    <xf borderId="13" fillId="0" fontId="5" numFmtId="3" xfId="0" applyAlignment="1" applyBorder="1" applyFont="1" applyNumberFormat="1">
      <alignment horizontal="center" vertical="center"/>
    </xf>
    <xf borderId="16" fillId="0" fontId="5" numFmtId="3" xfId="0" applyAlignment="1" applyBorder="1" applyFont="1" applyNumberFormat="1">
      <alignment horizontal="center" vertical="center"/>
    </xf>
    <xf borderId="17" fillId="0" fontId="5" numFmtId="3" xfId="0" applyAlignment="1" applyBorder="1" applyFont="1" applyNumberFormat="1">
      <alignment horizontal="center" vertical="center"/>
    </xf>
    <xf borderId="16" fillId="2" fontId="5" numFmtId="3" xfId="0" applyAlignment="1" applyBorder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19" fillId="0" fontId="5" numFmtId="3" xfId="0" applyAlignment="1" applyBorder="1" applyFont="1" applyNumberFormat="1">
      <alignment horizontal="center" vertical="center"/>
    </xf>
    <xf borderId="20" fillId="4" fontId="5" numFmtId="3" xfId="0" applyAlignment="1" applyBorder="1" applyFont="1" applyNumberFormat="1">
      <alignment horizontal="center" shrinkToFit="0" vertical="center" wrapText="1"/>
    </xf>
    <xf borderId="18" fillId="0" fontId="5" numFmtId="3" xfId="0" applyAlignment="1" applyBorder="1" applyFont="1" applyNumberFormat="1">
      <alignment horizontal="center" vertical="center"/>
    </xf>
    <xf borderId="21" fillId="0" fontId="5" numFmtId="3" xfId="0" applyAlignment="1" applyBorder="1" applyFont="1" applyNumberFormat="1">
      <alignment horizontal="center" vertical="center"/>
    </xf>
    <xf borderId="22" fillId="0" fontId="5" numFmtId="3" xfId="0" applyAlignment="1" applyBorder="1" applyFont="1" applyNumberFormat="1">
      <alignment horizontal="center" vertical="center"/>
    </xf>
    <xf borderId="21" fillId="2" fontId="5" numFmtId="3" xfId="0" applyAlignment="1" applyBorder="1" applyFont="1" applyNumberFormat="1">
      <alignment horizontal="center" shrinkToFit="0" vertical="center" wrapText="1"/>
    </xf>
    <xf borderId="23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24" fillId="0" fontId="5" numFmtId="3" xfId="0" applyAlignment="1" applyBorder="1" applyFont="1" applyNumberFormat="1">
      <alignment horizontal="center" vertical="center"/>
    </xf>
    <xf borderId="25" fillId="4" fontId="5" numFmtId="3" xfId="0" applyAlignment="1" applyBorder="1" applyFont="1" applyNumberFormat="1">
      <alignment horizontal="center" shrinkToFit="0" vertical="center" wrapText="1"/>
    </xf>
    <xf borderId="23" fillId="0" fontId="5" numFmtId="3" xfId="0" applyAlignment="1" applyBorder="1" applyFont="1" applyNumberFormat="1">
      <alignment horizontal="center" vertical="center"/>
    </xf>
    <xf borderId="26" fillId="0" fontId="5" numFmtId="3" xfId="0" applyAlignment="1" applyBorder="1" applyFont="1" applyNumberFormat="1">
      <alignment horizontal="center" vertical="center"/>
    </xf>
    <xf borderId="27" fillId="0" fontId="5" numFmtId="3" xfId="0" applyAlignment="1" applyBorder="1" applyFont="1" applyNumberFormat="1">
      <alignment horizontal="center" vertical="center"/>
    </xf>
    <xf borderId="28" fillId="2" fontId="5" numFmtId="3" xfId="0" applyAlignment="1" applyBorder="1" applyFont="1" applyNumberFormat="1">
      <alignment horizontal="center" shrinkToFit="0" vertical="center" wrapText="1"/>
    </xf>
    <xf borderId="20" fillId="4" fontId="5" numFmtId="3" xfId="0" applyAlignment="1" applyBorder="1" applyFont="1" applyNumberFormat="1">
      <alignment horizontal="center" vertical="center"/>
    </xf>
    <xf borderId="21" fillId="2" fontId="5" numFmtId="3" xfId="0" applyAlignment="1" applyBorder="1" applyFont="1" applyNumberForma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0" fillId="0" fontId="5" numFmtId="3" xfId="0" applyAlignment="1" applyBorder="1" applyFont="1" applyNumberFormat="1">
      <alignment horizontal="center" vertical="center"/>
    </xf>
    <xf borderId="31" fillId="4" fontId="5" numFmtId="3" xfId="0" applyAlignment="1" applyBorder="1" applyFont="1" applyNumberFormat="1">
      <alignment horizontal="center" vertical="center"/>
    </xf>
    <xf borderId="29" fillId="0" fontId="5" numFmtId="3" xfId="0" applyAlignment="1" applyBorder="1" applyFont="1" applyNumberFormat="1">
      <alignment horizontal="center" vertical="center"/>
    </xf>
    <xf borderId="32" fillId="0" fontId="5" numFmtId="3" xfId="0" applyAlignment="1" applyBorder="1" applyFont="1" applyNumberFormat="1">
      <alignment horizontal="center" vertical="center"/>
    </xf>
    <xf borderId="33" fillId="0" fontId="5" numFmtId="3" xfId="0" applyAlignment="1" applyBorder="1" applyFont="1" applyNumberFormat="1">
      <alignment horizontal="center" vertical="center"/>
    </xf>
    <xf borderId="32" fillId="2" fontId="5" numFmtId="37" xfId="0" applyAlignment="1" applyBorder="1" applyFont="1" applyNumberFormat="1">
      <alignment horizontal="center" vertical="center"/>
    </xf>
    <xf borderId="34" fillId="0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vertical="center"/>
    </xf>
    <xf borderId="34" fillId="0" fontId="5" numFmtId="3" xfId="0" applyAlignment="1" applyBorder="1" applyFont="1" applyNumberFormat="1">
      <alignment horizontal="center" vertical="center"/>
    </xf>
    <xf borderId="36" fillId="0" fontId="5" numFmtId="3" xfId="0" applyAlignment="1" applyBorder="1" applyFont="1" applyNumberFormat="1">
      <alignment horizontal="center" vertical="center"/>
    </xf>
    <xf borderId="37" fillId="4" fontId="5" numFmtId="3" xfId="0" applyAlignment="1" applyBorder="1" applyFont="1" applyNumberFormat="1">
      <alignment horizontal="center" vertical="center"/>
    </xf>
    <xf borderId="35" fillId="0" fontId="5" numFmtId="3" xfId="0" applyAlignment="1" applyBorder="1" applyFont="1" applyNumberFormat="1">
      <alignment horizontal="center" vertical="center"/>
    </xf>
    <xf borderId="38" fillId="0" fontId="5" numFmtId="3" xfId="0" applyAlignment="1" applyBorder="1" applyFont="1" applyNumberFormat="1">
      <alignment horizontal="center" vertical="center"/>
    </xf>
    <xf borderId="39" fillId="2" fontId="5" numFmtId="37" xfId="0" applyAlignment="1" applyBorder="1" applyFont="1" applyNumberFormat="1">
      <alignment horizontal="center" vertical="center"/>
    </xf>
    <xf borderId="21" fillId="0" fontId="5" numFmtId="0" xfId="0" applyAlignment="1" applyBorder="1" applyFont="1">
      <alignment horizontal="center" vertical="center"/>
    </xf>
    <xf borderId="21" fillId="4" fontId="5" numFmtId="3" xfId="0" applyAlignment="1" applyBorder="1" applyFont="1" applyNumberFormat="1">
      <alignment horizontal="center" vertical="center"/>
    </xf>
    <xf borderId="40" fillId="2" fontId="5" numFmtId="37" xfId="0" applyAlignment="1" applyBorder="1" applyFont="1" applyNumberFormat="1">
      <alignment horizontal="center" vertical="center"/>
    </xf>
    <xf borderId="19" fillId="0" fontId="5" numFmtId="37" xfId="0" applyAlignment="1" applyBorder="1" applyFont="1" applyNumberFormat="1">
      <alignment horizontal="center" vertical="center"/>
    </xf>
    <xf borderId="19" fillId="0" fontId="5" numFmtId="39" xfId="0" applyAlignment="1" applyBorder="1" applyFont="1" applyNumberFormat="1">
      <alignment horizontal="center" vertical="center"/>
    </xf>
    <xf borderId="21" fillId="4" fontId="5" numFmtId="39" xfId="0" applyAlignment="1" applyBorder="1" applyFont="1" applyNumberFormat="1">
      <alignment horizontal="center" vertical="center"/>
    </xf>
    <xf borderId="40" fillId="2" fontId="5" numFmtId="39" xfId="0" applyAlignment="1" applyBorder="1" applyFont="1" applyNumberFormat="1">
      <alignment horizontal="center" vertical="center"/>
    </xf>
    <xf borderId="32" fillId="0" fontId="5" numFmtId="0" xfId="0" applyAlignment="1" applyBorder="1" applyFont="1">
      <alignment horizontal="center" vertical="center"/>
    </xf>
    <xf borderId="30" fillId="0" fontId="5" numFmtId="39" xfId="0" applyAlignment="1" applyBorder="1" applyFont="1" applyNumberFormat="1">
      <alignment horizontal="center" vertical="center"/>
    </xf>
    <xf borderId="32" fillId="4" fontId="5" numFmtId="39" xfId="0" applyAlignment="1" applyBorder="1" applyFont="1" applyNumberFormat="1">
      <alignment horizontal="center" vertical="center"/>
    </xf>
    <xf borderId="41" fillId="2" fontId="5" numFmtId="39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horizontal="center" vertical="center"/>
    </xf>
    <xf borderId="16" fillId="4" fontId="5" numFmtId="3" xfId="0" applyAlignment="1" applyBorder="1" applyFont="1" applyNumberFormat="1">
      <alignment horizontal="center" vertical="center"/>
    </xf>
    <xf borderId="42" fillId="2" fontId="5" numFmtId="37" xfId="0" applyAlignment="1" applyBorder="1" applyFont="1" applyNumberFormat="1">
      <alignment horizontal="center" vertical="center"/>
    </xf>
    <xf borderId="18" fillId="0" fontId="5" numFmtId="3" xfId="0" applyAlignment="1" applyBorder="1" applyFont="1" applyNumberFormat="1">
      <alignment horizontal="center" readingOrder="0" vertical="center"/>
    </xf>
    <xf borderId="22" fillId="0" fontId="5" numFmtId="3" xfId="0" applyAlignment="1" applyBorder="1" applyFont="1" applyNumberFormat="1">
      <alignment horizontal="center" readingOrder="0" vertical="center"/>
    </xf>
    <xf borderId="18" fillId="0" fontId="5" numFmtId="0" xfId="0" applyAlignment="1" applyBorder="1" applyFont="1">
      <alignment vertical="center"/>
    </xf>
    <xf borderId="29" fillId="0" fontId="5" numFmtId="0" xfId="0" applyAlignment="1" applyBorder="1" applyFont="1">
      <alignment vertical="center"/>
    </xf>
    <xf borderId="32" fillId="4" fontId="5" numFmtId="3" xfId="0" applyAlignment="1" applyBorder="1" applyFont="1" applyNumberFormat="1">
      <alignment horizontal="center" vertical="center"/>
    </xf>
    <xf borderId="41" fillId="2" fontId="5" numFmtId="37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vertical="center"/>
    </xf>
    <xf borderId="19" fillId="0" fontId="5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19" fillId="5" fontId="1" numFmtId="0" xfId="0" applyAlignment="1" applyBorder="1" applyFill="1" applyFont="1">
      <alignment horizontal="center" vertical="center"/>
    </xf>
    <xf borderId="19" fillId="6" fontId="1" numFmtId="0" xfId="0" applyAlignment="1" applyBorder="1" applyFill="1" applyFont="1">
      <alignment horizontal="center" vertical="center"/>
    </xf>
    <xf borderId="19" fillId="6" fontId="1" numFmtId="0" xfId="0" applyAlignment="1" applyBorder="1" applyFont="1">
      <alignment horizontal="center" shrinkToFit="0" vertical="center" wrapText="1"/>
    </xf>
    <xf borderId="19" fillId="7" fontId="1" numFmtId="0" xfId="0" applyAlignment="1" applyBorder="1" applyFill="1" applyFon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9" fillId="0" fontId="5" numFmtId="165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horizontal="left" vertical="center"/>
    </xf>
    <xf borderId="19" fillId="0" fontId="5" numFmtId="166" xfId="0" applyAlignment="1" applyBorder="1" applyFont="1" applyNumberFormat="1">
      <alignment horizontal="center" vertical="center"/>
    </xf>
    <xf borderId="19" fillId="0" fontId="5" numFmtId="167" xfId="0" applyAlignment="1" applyBorder="1" applyFont="1" applyNumberFormat="1">
      <alignment horizontal="center" vertical="center"/>
    </xf>
    <xf borderId="43" fillId="8" fontId="1" numFmtId="0" xfId="0" applyAlignment="1" applyBorder="1" applyFill="1" applyFont="1">
      <alignment horizontal="center" vertical="center"/>
    </xf>
    <xf borderId="22" fillId="0" fontId="3" numFmtId="0" xfId="0" applyAlignment="1" applyBorder="1" applyFont="1">
      <alignment vertical="center"/>
    </xf>
    <xf borderId="44" fillId="9" fontId="1" numFmtId="0" xfId="0" applyAlignment="1" applyBorder="1" applyFill="1" applyFont="1">
      <alignment horizontal="center" vertical="center"/>
    </xf>
    <xf borderId="45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4" fillId="9" fontId="1" numFmtId="0" xfId="0" applyAlignment="1" applyBorder="1" applyFont="1">
      <alignment horizontal="center" vertical="center"/>
    </xf>
    <xf borderId="43" fillId="9" fontId="1" numFmtId="0" xfId="0" applyAlignment="1" applyBorder="1" applyFont="1">
      <alignment horizontal="center" vertical="center"/>
    </xf>
    <xf borderId="46" fillId="0" fontId="3" numFmtId="0" xfId="0" applyAlignment="1" applyBorder="1" applyFont="1">
      <alignment vertical="center"/>
    </xf>
    <xf borderId="47" fillId="0" fontId="3" numFmtId="0" xfId="0" applyAlignment="1" applyBorder="1" applyFont="1">
      <alignment vertical="center"/>
    </xf>
    <xf borderId="48" fillId="0" fontId="3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19" fillId="9" fontId="1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19" fillId="9" fontId="1" numFmtId="0" xfId="0" applyAlignment="1" applyBorder="1" applyFont="1">
      <alignment horizontal="center" vertical="center"/>
    </xf>
    <xf borderId="19" fillId="0" fontId="5" numFmtId="168" xfId="0" applyAlignment="1" applyBorder="1" applyFont="1" applyNumberFormat="1">
      <alignment horizontal="center" vertical="center"/>
    </xf>
    <xf borderId="19" fillId="0" fontId="5" numFmtId="169" xfId="0" applyAlignment="1" applyBorder="1" applyFont="1" applyNumberFormat="1">
      <alignment horizontal="center" vertical="center"/>
    </xf>
    <xf borderId="19" fillId="0" fontId="5" numFmtId="170" xfId="0" applyAlignment="1" applyBorder="1" applyFont="1" applyNumberFormat="1">
      <alignment horizontal="center" vertical="center"/>
    </xf>
    <xf borderId="19" fillId="0" fontId="5" numFmtId="171" xfId="0" applyAlignment="1" applyBorder="1" applyFont="1" applyNumberFormat="1">
      <alignment horizontal="center" vertical="center"/>
    </xf>
    <xf borderId="19" fillId="0" fontId="5" numFmtId="172" xfId="0" applyAlignment="1" applyBorder="1" applyFont="1" applyNumberFormat="1">
      <alignment horizontal="center" vertical="center"/>
    </xf>
    <xf borderId="19" fillId="0" fontId="5" numFmtId="4" xfId="0" applyAlignment="1" applyBorder="1" applyFont="1" applyNumberFormat="1">
      <alignment horizontal="center" vertical="center"/>
    </xf>
    <xf borderId="43" fillId="0" fontId="5" numFmtId="0" xfId="0" applyAlignment="1" applyBorder="1" applyFont="1">
      <alignment horizontal="center" vertical="center"/>
    </xf>
    <xf borderId="19" fillId="10" fontId="5" numFmtId="173" xfId="0" applyAlignment="1" applyBorder="1" applyFill="1" applyFont="1" applyNumberFormat="1">
      <alignment horizontal="center" vertical="center"/>
    </xf>
    <xf borderId="0" fillId="0" fontId="5" numFmtId="174" xfId="0" applyAlignment="1" applyFont="1" applyNumberFormat="1">
      <alignment vertical="center"/>
    </xf>
    <xf borderId="24" fillId="6" fontId="1" numFmtId="0" xfId="0" applyAlignment="1" applyBorder="1" applyFont="1">
      <alignment horizontal="center" vertical="center"/>
    </xf>
    <xf borderId="43" fillId="6" fontId="1" numFmtId="0" xfId="0" applyAlignment="1" applyBorder="1" applyFont="1">
      <alignment horizontal="center" vertical="center"/>
    </xf>
    <xf borderId="19" fillId="11" fontId="1" numFmtId="0" xfId="0" applyAlignment="1" applyBorder="1" applyFill="1" applyFont="1">
      <alignment horizontal="center" vertical="center"/>
    </xf>
    <xf borderId="19" fillId="10" fontId="5" numFmtId="0" xfId="0" applyAlignment="1" applyBorder="1" applyFont="1">
      <alignment vertical="center"/>
    </xf>
    <xf quotePrefix="1" borderId="19" fillId="10" fontId="5" numFmtId="0" xfId="0" applyAlignment="1" applyBorder="1" applyFont="1">
      <alignment vertical="center"/>
    </xf>
    <xf borderId="19" fillId="10" fontId="5" numFmtId="170" xfId="0" applyAlignment="1" applyBorder="1" applyFont="1" applyNumberFormat="1">
      <alignment horizontal="left" vertical="center"/>
    </xf>
    <xf borderId="19" fillId="0" fontId="5" numFmtId="0" xfId="0" applyAlignment="1" applyBorder="1" applyFont="1">
      <alignment shrinkToFit="0" vertical="center" wrapText="1"/>
    </xf>
    <xf borderId="24" fillId="0" fontId="2" numFmtId="0" xfId="0" applyAlignment="1" applyBorder="1" applyFont="1">
      <alignment vertical="center"/>
    </xf>
    <xf borderId="19" fillId="10" fontId="5" numFmtId="0" xfId="0" applyAlignment="1" applyBorder="1" applyFont="1">
      <alignment readingOrder="0" vertical="center"/>
    </xf>
    <xf borderId="19" fillId="0" fontId="5" numFmtId="49" xfId="0" applyAlignment="1" applyBorder="1" applyFont="1" applyNumberFormat="1">
      <alignment horizontal="left" vertical="center"/>
    </xf>
    <xf borderId="19" fillId="0" fontId="6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alculatio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lcu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8.29"/>
    <col customWidth="1" min="3" max="7" width="7.57"/>
    <col customWidth="1" min="8" max="8" width="15.71"/>
    <col customWidth="1" min="9" max="9" width="11.43"/>
    <col customWidth="1" min="10" max="10" width="12.57"/>
    <col customWidth="1" min="11" max="11" width="13.14"/>
    <col customWidth="1" min="12" max="12" width="16.71"/>
    <col customWidth="1" min="13" max="13" width="17.71"/>
    <col customWidth="1" min="14" max="14" width="14.71"/>
    <col customWidth="1" min="15" max="15" width="12.86"/>
    <col customWidth="1" min="16" max="16" width="17.57"/>
    <col customWidth="1" min="17" max="17" width="8.14"/>
    <col customWidth="1" min="18" max="18" width="11.0"/>
    <col customWidth="1" min="19" max="19" width="17.43"/>
    <col customWidth="1" min="20" max="20" width="14.57"/>
    <col customWidth="1" min="21" max="21" width="10.43"/>
    <col customWidth="1" min="22" max="26" width="8.71"/>
  </cols>
  <sheetData>
    <row r="1" ht="18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2" t="s">
        <v>3</v>
      </c>
      <c r="Q1" s="3"/>
      <c r="R1" s="5"/>
      <c r="S1" s="6" t="s">
        <v>4</v>
      </c>
      <c r="T1" s="1" t="s">
        <v>5</v>
      </c>
      <c r="U1" s="7" t="s">
        <v>6</v>
      </c>
    </row>
    <row r="2" ht="14.25" customHeight="1">
      <c r="A2" s="8"/>
      <c r="B2" s="8"/>
      <c r="C2" s="9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2" t="s">
        <v>19</v>
      </c>
      <c r="P2" s="9" t="s">
        <v>20</v>
      </c>
      <c r="Q2" s="11" t="s">
        <v>21</v>
      </c>
      <c r="R2" s="13" t="s">
        <v>22</v>
      </c>
      <c r="S2" s="14"/>
      <c r="T2" s="8"/>
      <c r="U2" s="14"/>
    </row>
    <row r="3" ht="14.25" customHeight="1">
      <c r="A3" s="15">
        <v>2022.0</v>
      </c>
      <c r="B3" s="16" t="s">
        <v>23</v>
      </c>
      <c r="C3" s="17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8">
        <v>8667.0</v>
      </c>
      <c r="P3" s="19"/>
      <c r="Q3" s="17"/>
      <c r="R3" s="20"/>
      <c r="S3" s="21"/>
      <c r="T3" s="16"/>
      <c r="U3" s="22">
        <v>8667.0</v>
      </c>
    </row>
    <row r="4" ht="14.25" customHeight="1">
      <c r="A4" s="23">
        <v>2022.0</v>
      </c>
      <c r="B4" s="24" t="s">
        <v>24</v>
      </c>
      <c r="C4" s="25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6">
        <v>20000.0</v>
      </c>
      <c r="P4" s="27"/>
      <c r="Q4" s="25"/>
      <c r="R4" s="28"/>
      <c r="S4" s="29"/>
      <c r="T4" s="24"/>
      <c r="U4" s="30">
        <v>20000.0</v>
      </c>
    </row>
    <row r="5" ht="14.25" customHeight="1">
      <c r="A5" s="23">
        <v>2022.0</v>
      </c>
      <c r="B5" s="24" t="s">
        <v>25</v>
      </c>
      <c r="C5" s="25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6">
        <v>20000.0</v>
      </c>
      <c r="P5" s="27"/>
      <c r="Q5" s="25"/>
      <c r="R5" s="28"/>
      <c r="S5" s="29"/>
      <c r="T5" s="24"/>
      <c r="U5" s="30">
        <v>20000.0</v>
      </c>
    </row>
    <row r="6" ht="14.25" customHeight="1">
      <c r="A6" s="23">
        <v>2022.0</v>
      </c>
      <c r="B6" s="24" t="s">
        <v>26</v>
      </c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6">
        <v>20000.0</v>
      </c>
      <c r="P6" s="27"/>
      <c r="Q6" s="25"/>
      <c r="R6" s="28"/>
      <c r="S6" s="29"/>
      <c r="T6" s="24"/>
      <c r="U6" s="30">
        <v>20000.0</v>
      </c>
    </row>
    <row r="7" ht="14.25" customHeight="1">
      <c r="A7" s="23">
        <v>2023.0</v>
      </c>
      <c r="B7" s="24" t="s">
        <v>27</v>
      </c>
      <c r="C7" s="25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6">
        <v>20000.0</v>
      </c>
      <c r="P7" s="27"/>
      <c r="Q7" s="25"/>
      <c r="R7" s="28"/>
      <c r="S7" s="29"/>
      <c r="T7" s="24"/>
      <c r="U7" s="30">
        <v>20000.0</v>
      </c>
    </row>
    <row r="8" ht="14.25" customHeight="1">
      <c r="A8" s="23">
        <v>2023.0</v>
      </c>
      <c r="B8" s="24" t="s">
        <v>28</v>
      </c>
      <c r="C8" s="25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6">
        <v>20000.0</v>
      </c>
      <c r="P8" s="27"/>
      <c r="Q8" s="25"/>
      <c r="R8" s="28"/>
      <c r="S8" s="29"/>
      <c r="T8" s="24"/>
      <c r="U8" s="30">
        <v>20000.0</v>
      </c>
    </row>
    <row r="9" ht="14.25" customHeight="1">
      <c r="A9" s="31">
        <v>2023.0</v>
      </c>
      <c r="B9" s="32" t="s">
        <v>29</v>
      </c>
      <c r="C9" s="33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4">
        <v>20000.0</v>
      </c>
      <c r="P9" s="35"/>
      <c r="Q9" s="33"/>
      <c r="R9" s="36"/>
      <c r="S9" s="37"/>
      <c r="T9" s="32"/>
      <c r="U9" s="38">
        <v>20000.0</v>
      </c>
    </row>
    <row r="10" ht="14.25" customHeight="1">
      <c r="A10" s="15">
        <v>2023.0</v>
      </c>
      <c r="B10" s="16" t="s">
        <v>30</v>
      </c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8">
        <v>5162.0</v>
      </c>
      <c r="P10" s="19"/>
      <c r="Q10" s="17"/>
      <c r="R10" s="20"/>
      <c r="S10" s="21"/>
      <c r="T10" s="16"/>
      <c r="U10" s="22">
        <v>5162.0</v>
      </c>
    </row>
    <row r="11" ht="14.25" customHeight="1">
      <c r="A11" s="23">
        <v>2023.0</v>
      </c>
      <c r="B11" s="24" t="s">
        <v>31</v>
      </c>
      <c r="C11" s="25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>
        <v>14667.0</v>
      </c>
      <c r="P11" s="27"/>
      <c r="Q11" s="25"/>
      <c r="R11" s="28"/>
      <c r="S11" s="29"/>
      <c r="T11" s="24"/>
      <c r="U11" s="30">
        <v>14667.0</v>
      </c>
    </row>
    <row r="12" ht="14.25" customHeight="1">
      <c r="A12" s="23">
        <v>2023.0</v>
      </c>
      <c r="B12" s="24" t="s">
        <v>32</v>
      </c>
      <c r="C12" s="25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6">
        <v>20000.0</v>
      </c>
      <c r="P12" s="27"/>
      <c r="Q12" s="25"/>
      <c r="R12" s="28"/>
      <c r="S12" s="29"/>
      <c r="T12" s="24"/>
      <c r="U12" s="30">
        <v>20000.0</v>
      </c>
    </row>
    <row r="13" ht="14.25" customHeight="1">
      <c r="A13" s="23">
        <v>2023.0</v>
      </c>
      <c r="B13" s="24" t="s">
        <v>23</v>
      </c>
      <c r="C13" s="2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6">
        <v>21871.0</v>
      </c>
      <c r="P13" s="27"/>
      <c r="Q13" s="25"/>
      <c r="R13" s="28"/>
      <c r="S13" s="29"/>
      <c r="T13" s="24"/>
      <c r="U13" s="30">
        <v>21871.0</v>
      </c>
    </row>
    <row r="14" ht="14.25" customHeight="1">
      <c r="A14" s="23">
        <v>2023.0</v>
      </c>
      <c r="B14" s="24" t="s">
        <v>24</v>
      </c>
      <c r="C14" s="25">
        <v>16802.0</v>
      </c>
      <c r="D14" s="25">
        <v>6721.0</v>
      </c>
      <c r="E14" s="25">
        <v>2688.0</v>
      </c>
      <c r="F14" s="25">
        <v>1399.0</v>
      </c>
      <c r="G14" s="25">
        <v>645.0</v>
      </c>
      <c r="H14" s="25">
        <v>3331.0</v>
      </c>
      <c r="I14" s="25">
        <v>700.0</v>
      </c>
      <c r="J14" s="25"/>
      <c r="K14" s="25"/>
      <c r="L14" s="25"/>
      <c r="M14" s="25"/>
      <c r="N14" s="25"/>
      <c r="O14" s="39">
        <f t="shared" ref="O14:O69" si="1">SUM(C14:N14)</f>
        <v>32286</v>
      </c>
      <c r="P14" s="27">
        <v>1800.0</v>
      </c>
      <c r="Q14" s="25">
        <v>200.0</v>
      </c>
      <c r="R14" s="28"/>
      <c r="S14" s="29">
        <v>766.0</v>
      </c>
      <c r="T14" s="25">
        <v>1250.0</v>
      </c>
      <c r="U14" s="40">
        <f t="shared" ref="U14:U69" si="2">O14-SUM(P14:R14)</f>
        <v>30286</v>
      </c>
    </row>
    <row r="15" ht="14.25" customHeight="1">
      <c r="A15" s="23">
        <v>2023.0</v>
      </c>
      <c r="B15" s="24" t="s">
        <v>25</v>
      </c>
      <c r="C15" s="25">
        <v>20834.0</v>
      </c>
      <c r="D15" s="25">
        <v>8334.0</v>
      </c>
      <c r="E15" s="25">
        <v>3333.0</v>
      </c>
      <c r="F15" s="25">
        <v>1735.0</v>
      </c>
      <c r="G15" s="25">
        <v>800.0</v>
      </c>
      <c r="H15" s="25">
        <v>4131.0</v>
      </c>
      <c r="I15" s="25">
        <v>4550.0</v>
      </c>
      <c r="J15" s="25"/>
      <c r="K15" s="25"/>
      <c r="L15" s="25"/>
      <c r="M15" s="25"/>
      <c r="N15" s="25"/>
      <c r="O15" s="39">
        <f t="shared" si="1"/>
        <v>43717</v>
      </c>
      <c r="P15" s="27">
        <v>1800.0</v>
      </c>
      <c r="Q15" s="25">
        <v>200.0</v>
      </c>
      <c r="R15" s="28"/>
      <c r="S15" s="29">
        <v>1250.0</v>
      </c>
      <c r="T15" s="25">
        <v>1250.0</v>
      </c>
      <c r="U15" s="40">
        <f t="shared" si="2"/>
        <v>41717</v>
      </c>
    </row>
    <row r="16" ht="14.25" customHeight="1">
      <c r="A16" s="23">
        <v>2023.0</v>
      </c>
      <c r="B16" s="24" t="s">
        <v>33</v>
      </c>
      <c r="C16" s="25">
        <v>20834.0</v>
      </c>
      <c r="D16" s="25">
        <v>8334.0</v>
      </c>
      <c r="E16" s="25">
        <v>3333.0</v>
      </c>
      <c r="F16" s="25">
        <v>1735.0</v>
      </c>
      <c r="G16" s="25">
        <v>800.0</v>
      </c>
      <c r="H16" s="25">
        <v>4131.0</v>
      </c>
      <c r="I16" s="25">
        <v>4550.0</v>
      </c>
      <c r="J16" s="25"/>
      <c r="K16" s="25"/>
      <c r="L16" s="25"/>
      <c r="M16" s="25"/>
      <c r="N16" s="25"/>
      <c r="O16" s="39">
        <f t="shared" si="1"/>
        <v>43717</v>
      </c>
      <c r="P16" s="27">
        <v>1800.0</v>
      </c>
      <c r="Q16" s="25">
        <v>200.0</v>
      </c>
      <c r="R16" s="28"/>
      <c r="S16" s="29">
        <v>1250.0</v>
      </c>
      <c r="T16" s="25">
        <v>1250.0</v>
      </c>
      <c r="U16" s="40">
        <f t="shared" si="2"/>
        <v>41717</v>
      </c>
    </row>
    <row r="17" ht="14.25" customHeight="1">
      <c r="A17" s="23">
        <v>2023.0</v>
      </c>
      <c r="B17" s="24" t="s">
        <v>34</v>
      </c>
      <c r="C17" s="25">
        <v>20834.0</v>
      </c>
      <c r="D17" s="25">
        <v>8334.0</v>
      </c>
      <c r="E17" s="25">
        <v>3333.0</v>
      </c>
      <c r="F17" s="25">
        <v>1735.0</v>
      </c>
      <c r="G17" s="25">
        <v>800.0</v>
      </c>
      <c r="H17" s="25">
        <v>4131.0</v>
      </c>
      <c r="I17" s="25">
        <v>4900.0</v>
      </c>
      <c r="J17" s="25"/>
      <c r="K17" s="25"/>
      <c r="L17" s="25"/>
      <c r="M17" s="25"/>
      <c r="N17" s="25"/>
      <c r="O17" s="39">
        <f t="shared" si="1"/>
        <v>44067</v>
      </c>
      <c r="P17" s="27">
        <v>1800.0</v>
      </c>
      <c r="Q17" s="25">
        <v>200.0</v>
      </c>
      <c r="R17" s="28"/>
      <c r="S17" s="29">
        <v>1250.0</v>
      </c>
      <c r="T17" s="25">
        <v>1250.0</v>
      </c>
      <c r="U17" s="40">
        <f t="shared" si="2"/>
        <v>42067</v>
      </c>
    </row>
    <row r="18" ht="14.25" customHeight="1">
      <c r="A18" s="23">
        <v>2023.0</v>
      </c>
      <c r="B18" s="24" t="s">
        <v>26</v>
      </c>
      <c r="C18" s="25">
        <v>20834.0</v>
      </c>
      <c r="D18" s="25">
        <v>8334.0</v>
      </c>
      <c r="E18" s="25">
        <v>3333.0</v>
      </c>
      <c r="F18" s="25">
        <v>1735.0</v>
      </c>
      <c r="G18" s="25">
        <v>800.0</v>
      </c>
      <c r="H18" s="25">
        <v>4131.0</v>
      </c>
      <c r="I18" s="25">
        <v>3500.0</v>
      </c>
      <c r="J18" s="25">
        <v>4109.0</v>
      </c>
      <c r="K18" s="25"/>
      <c r="L18" s="25"/>
      <c r="M18" s="25"/>
      <c r="N18" s="25"/>
      <c r="O18" s="39">
        <f t="shared" si="1"/>
        <v>46776</v>
      </c>
      <c r="P18" s="27">
        <v>1800.0</v>
      </c>
      <c r="Q18" s="25">
        <v>200.0</v>
      </c>
      <c r="R18" s="28"/>
      <c r="S18" s="29">
        <v>1250.0</v>
      </c>
      <c r="T18" s="25">
        <v>1250.0</v>
      </c>
      <c r="U18" s="40">
        <f t="shared" si="2"/>
        <v>44776</v>
      </c>
    </row>
    <row r="19" ht="14.25" customHeight="1">
      <c r="A19" s="23">
        <v>2024.0</v>
      </c>
      <c r="B19" s="24" t="s">
        <v>27</v>
      </c>
      <c r="C19" s="25">
        <v>20834.0</v>
      </c>
      <c r="D19" s="25">
        <v>8334.0</v>
      </c>
      <c r="E19" s="25">
        <v>3333.0</v>
      </c>
      <c r="F19" s="25">
        <v>1735.0</v>
      </c>
      <c r="G19" s="25">
        <v>800.0</v>
      </c>
      <c r="H19" s="25">
        <v>4131.0</v>
      </c>
      <c r="I19" s="25">
        <v>4900.0</v>
      </c>
      <c r="J19" s="25"/>
      <c r="K19" s="25"/>
      <c r="L19" s="25"/>
      <c r="M19" s="25"/>
      <c r="N19" s="25"/>
      <c r="O19" s="39">
        <f t="shared" si="1"/>
        <v>44067</v>
      </c>
      <c r="P19" s="27">
        <v>1800.0</v>
      </c>
      <c r="Q19" s="25">
        <v>200.0</v>
      </c>
      <c r="R19" s="28"/>
      <c r="S19" s="29">
        <v>1250.0</v>
      </c>
      <c r="T19" s="25">
        <v>1250.0</v>
      </c>
      <c r="U19" s="40">
        <f t="shared" si="2"/>
        <v>42067</v>
      </c>
    </row>
    <row r="20" ht="14.25" customHeight="1">
      <c r="A20" s="23">
        <v>2024.0</v>
      </c>
      <c r="B20" s="24" t="s">
        <v>28</v>
      </c>
      <c r="C20" s="25">
        <v>20834.0</v>
      </c>
      <c r="D20" s="25">
        <v>8334.0</v>
      </c>
      <c r="E20" s="25">
        <v>3333.0</v>
      </c>
      <c r="F20" s="25">
        <v>1735.0</v>
      </c>
      <c r="G20" s="25">
        <v>800.0</v>
      </c>
      <c r="H20" s="25">
        <v>4131.0</v>
      </c>
      <c r="I20" s="25">
        <v>9100.0</v>
      </c>
      <c r="J20" s="25"/>
      <c r="K20" s="25"/>
      <c r="L20" s="25"/>
      <c r="M20" s="25"/>
      <c r="N20" s="25"/>
      <c r="O20" s="39">
        <f t="shared" si="1"/>
        <v>48267</v>
      </c>
      <c r="P20" s="27">
        <v>1800.0</v>
      </c>
      <c r="Q20" s="25">
        <v>200.0</v>
      </c>
      <c r="R20" s="28"/>
      <c r="S20" s="29">
        <v>2500.0</v>
      </c>
      <c r="T20" s="25"/>
      <c r="U20" s="40">
        <f t="shared" si="2"/>
        <v>46267</v>
      </c>
    </row>
    <row r="21" ht="14.25" customHeight="1">
      <c r="A21" s="41">
        <v>2024.0</v>
      </c>
      <c r="B21" s="42" t="s">
        <v>29</v>
      </c>
      <c r="C21" s="43">
        <v>20834.0</v>
      </c>
      <c r="D21" s="43">
        <v>8334.0</v>
      </c>
      <c r="E21" s="43">
        <v>3333.0</v>
      </c>
      <c r="F21" s="43">
        <v>1735.0</v>
      </c>
      <c r="G21" s="43">
        <v>800.0</v>
      </c>
      <c r="H21" s="43">
        <v>4131.0</v>
      </c>
      <c r="I21" s="43">
        <v>4550.0</v>
      </c>
      <c r="J21" s="43"/>
      <c r="K21" s="43"/>
      <c r="L21" s="43"/>
      <c r="M21" s="43"/>
      <c r="N21" s="43"/>
      <c r="O21" s="44">
        <f t="shared" si="1"/>
        <v>43717</v>
      </c>
      <c r="P21" s="45">
        <v>1800.0</v>
      </c>
      <c r="Q21" s="43">
        <v>200.0</v>
      </c>
      <c r="R21" s="46"/>
      <c r="S21" s="47">
        <v>2500.0</v>
      </c>
      <c r="T21" s="43"/>
      <c r="U21" s="48">
        <f t="shared" si="2"/>
        <v>41717</v>
      </c>
    </row>
    <row r="22" ht="14.25" customHeight="1">
      <c r="A22" s="49">
        <v>2024.0</v>
      </c>
      <c r="B22" s="50" t="s">
        <v>30</v>
      </c>
      <c r="C22" s="51">
        <v>22084.0</v>
      </c>
      <c r="D22" s="52">
        <v>8834.0</v>
      </c>
      <c r="E22" s="52">
        <v>3333.0</v>
      </c>
      <c r="F22" s="52"/>
      <c r="G22" s="52">
        <v>800.0</v>
      </c>
      <c r="H22" s="52">
        <v>6466.0</v>
      </c>
      <c r="I22" s="52">
        <v>4850.0</v>
      </c>
      <c r="J22" s="52"/>
      <c r="K22" s="52"/>
      <c r="L22" s="52"/>
      <c r="M22" s="52"/>
      <c r="N22" s="52"/>
      <c r="O22" s="53">
        <f t="shared" si="1"/>
        <v>46367</v>
      </c>
      <c r="P22" s="51">
        <v>1800.0</v>
      </c>
      <c r="Q22" s="52">
        <v>200.0</v>
      </c>
      <c r="R22" s="54"/>
      <c r="S22" s="55">
        <v>2650.0</v>
      </c>
      <c r="T22" s="54"/>
      <c r="U22" s="56">
        <f t="shared" si="2"/>
        <v>44367</v>
      </c>
    </row>
    <row r="23" ht="14.25" customHeight="1">
      <c r="A23" s="23">
        <v>2024.0</v>
      </c>
      <c r="B23" s="57" t="s">
        <v>31</v>
      </c>
      <c r="C23" s="27">
        <v>22084.0</v>
      </c>
      <c r="D23" s="25">
        <v>8834.0</v>
      </c>
      <c r="E23" s="25">
        <v>3333.0</v>
      </c>
      <c r="F23" s="25"/>
      <c r="G23" s="25">
        <v>800.0</v>
      </c>
      <c r="H23" s="25">
        <v>6466.0</v>
      </c>
      <c r="I23" s="25">
        <v>4600.0</v>
      </c>
      <c r="J23" s="25"/>
      <c r="K23" s="25"/>
      <c r="L23" s="25"/>
      <c r="M23" s="25"/>
      <c r="N23" s="25"/>
      <c r="O23" s="58">
        <f t="shared" si="1"/>
        <v>46117</v>
      </c>
      <c r="P23" s="27">
        <v>1800.0</v>
      </c>
      <c r="Q23" s="25">
        <v>200.0</v>
      </c>
      <c r="R23" s="28"/>
      <c r="S23" s="29">
        <v>2650.0</v>
      </c>
      <c r="T23" s="28"/>
      <c r="U23" s="59">
        <f t="shared" si="2"/>
        <v>44117</v>
      </c>
    </row>
    <row r="24" ht="14.25" customHeight="1">
      <c r="A24" s="23">
        <v>2024.0</v>
      </c>
      <c r="B24" s="57" t="s">
        <v>32</v>
      </c>
      <c r="C24" s="27">
        <v>22084.0</v>
      </c>
      <c r="D24" s="25">
        <v>8834.0</v>
      </c>
      <c r="E24" s="25">
        <v>3333.0</v>
      </c>
      <c r="F24" s="25"/>
      <c r="G24" s="25">
        <v>800.0</v>
      </c>
      <c r="H24" s="25">
        <v>6466.0</v>
      </c>
      <c r="I24" s="25">
        <v>2700.0</v>
      </c>
      <c r="J24" s="25"/>
      <c r="K24" s="25"/>
      <c r="L24" s="25"/>
      <c r="M24" s="25"/>
      <c r="N24" s="25"/>
      <c r="O24" s="58">
        <f t="shared" si="1"/>
        <v>44217</v>
      </c>
      <c r="P24" s="27">
        <v>1800.0</v>
      </c>
      <c r="Q24" s="25">
        <v>200.0</v>
      </c>
      <c r="R24" s="28"/>
      <c r="S24" s="29">
        <v>2650.0</v>
      </c>
      <c r="T24" s="28"/>
      <c r="U24" s="59">
        <f t="shared" si="2"/>
        <v>42217</v>
      </c>
    </row>
    <row r="25" ht="14.25" customHeight="1">
      <c r="A25" s="23">
        <v>2024.0</v>
      </c>
      <c r="B25" s="57" t="s">
        <v>23</v>
      </c>
      <c r="C25" s="27">
        <v>22084.0</v>
      </c>
      <c r="D25" s="25">
        <v>8834.0</v>
      </c>
      <c r="E25" s="25">
        <v>3333.0</v>
      </c>
      <c r="F25" s="25"/>
      <c r="G25" s="25">
        <v>800.0</v>
      </c>
      <c r="H25" s="25">
        <v>6466.0</v>
      </c>
      <c r="I25" s="25">
        <v>3850.0</v>
      </c>
      <c r="J25" s="60"/>
      <c r="K25" s="60"/>
      <c r="L25" s="60"/>
      <c r="M25" s="60"/>
      <c r="N25" s="25"/>
      <c r="O25" s="58">
        <f t="shared" si="1"/>
        <v>45367</v>
      </c>
      <c r="P25" s="27">
        <v>1800.0</v>
      </c>
      <c r="Q25" s="25">
        <v>200.0</v>
      </c>
      <c r="R25" s="28"/>
      <c r="S25" s="29">
        <v>2650.0</v>
      </c>
      <c r="T25" s="28"/>
      <c r="U25" s="59">
        <f t="shared" si="2"/>
        <v>43367</v>
      </c>
    </row>
    <row r="26" ht="14.25" customHeight="1">
      <c r="A26" s="23">
        <v>2024.0</v>
      </c>
      <c r="B26" s="57" t="s">
        <v>24</v>
      </c>
      <c r="C26" s="27">
        <v>22084.0</v>
      </c>
      <c r="D26" s="25">
        <v>8834.0</v>
      </c>
      <c r="E26" s="25">
        <v>3333.0</v>
      </c>
      <c r="F26" s="25"/>
      <c r="G26" s="25">
        <v>800.0</v>
      </c>
      <c r="H26" s="25">
        <v>6466.0</v>
      </c>
      <c r="I26" s="25">
        <v>3450.0</v>
      </c>
      <c r="J26" s="25"/>
      <c r="K26" s="25"/>
      <c r="L26" s="25"/>
      <c r="M26" s="25"/>
      <c r="N26" s="25"/>
      <c r="O26" s="58">
        <f t="shared" si="1"/>
        <v>44967</v>
      </c>
      <c r="P26" s="27">
        <v>1800.0</v>
      </c>
      <c r="Q26" s="25">
        <v>200.0</v>
      </c>
      <c r="R26" s="28"/>
      <c r="S26" s="29">
        <v>2650.0</v>
      </c>
      <c r="T26" s="28"/>
      <c r="U26" s="59">
        <f t="shared" si="2"/>
        <v>42967</v>
      </c>
    </row>
    <row r="27" ht="14.25" customHeight="1">
      <c r="A27" s="23">
        <v>2024.0</v>
      </c>
      <c r="B27" s="57" t="s">
        <v>25</v>
      </c>
      <c r="C27" s="27">
        <v>22084.0</v>
      </c>
      <c r="D27" s="25">
        <v>8834.0</v>
      </c>
      <c r="E27" s="25">
        <v>3333.0</v>
      </c>
      <c r="F27" s="25"/>
      <c r="G27" s="25">
        <v>800.0</v>
      </c>
      <c r="H27" s="25">
        <v>6466.0</v>
      </c>
      <c r="I27" s="25">
        <v>5250.0</v>
      </c>
      <c r="J27" s="25"/>
      <c r="K27" s="25"/>
      <c r="L27" s="25"/>
      <c r="M27" s="25"/>
      <c r="N27" s="25"/>
      <c r="O27" s="58">
        <f t="shared" si="1"/>
        <v>46767</v>
      </c>
      <c r="P27" s="27">
        <v>1800.0</v>
      </c>
      <c r="Q27" s="25">
        <v>200.0</v>
      </c>
      <c r="R27" s="28"/>
      <c r="S27" s="29">
        <v>2650.0</v>
      </c>
      <c r="T27" s="28"/>
      <c r="U27" s="59">
        <f t="shared" si="2"/>
        <v>44767</v>
      </c>
    </row>
    <row r="28" ht="14.25" customHeight="1">
      <c r="A28" s="23">
        <v>2024.0</v>
      </c>
      <c r="B28" s="57" t="s">
        <v>33</v>
      </c>
      <c r="C28" s="27">
        <v>22084.0</v>
      </c>
      <c r="D28" s="25">
        <v>8834.0</v>
      </c>
      <c r="E28" s="25">
        <v>3333.0</v>
      </c>
      <c r="F28" s="25"/>
      <c r="G28" s="25">
        <v>800.0</v>
      </c>
      <c r="H28" s="25">
        <v>6466.0</v>
      </c>
      <c r="I28" s="25">
        <v>3150.0</v>
      </c>
      <c r="J28" s="25"/>
      <c r="K28" s="25"/>
      <c r="L28" s="25"/>
      <c r="M28" s="25"/>
      <c r="N28" s="25"/>
      <c r="O28" s="58">
        <f t="shared" si="1"/>
        <v>44667</v>
      </c>
      <c r="P28" s="27">
        <v>1800.0</v>
      </c>
      <c r="Q28" s="25">
        <v>200.0</v>
      </c>
      <c r="R28" s="28"/>
      <c r="S28" s="29">
        <v>2650.0</v>
      </c>
      <c r="T28" s="28"/>
      <c r="U28" s="59">
        <f t="shared" si="2"/>
        <v>42667</v>
      </c>
    </row>
    <row r="29" ht="14.25" customHeight="1">
      <c r="A29" s="23">
        <v>2024.0</v>
      </c>
      <c r="B29" s="57" t="s">
        <v>34</v>
      </c>
      <c r="C29" s="27">
        <v>22084.0</v>
      </c>
      <c r="D29" s="25">
        <v>8834.0</v>
      </c>
      <c r="E29" s="25">
        <v>3333.0</v>
      </c>
      <c r="F29" s="25"/>
      <c r="G29" s="25">
        <v>800.0</v>
      </c>
      <c r="H29" s="25">
        <v>6466.0</v>
      </c>
      <c r="I29" s="25">
        <v>7350.0</v>
      </c>
      <c r="J29" s="25"/>
      <c r="K29" s="25"/>
      <c r="L29" s="25"/>
      <c r="M29" s="25"/>
      <c r="N29" s="25"/>
      <c r="O29" s="58">
        <f t="shared" si="1"/>
        <v>48867</v>
      </c>
      <c r="P29" s="27">
        <v>1800.0</v>
      </c>
      <c r="Q29" s="25">
        <v>200.0</v>
      </c>
      <c r="R29" s="28"/>
      <c r="S29" s="29">
        <v>2650.0</v>
      </c>
      <c r="T29" s="28"/>
      <c r="U29" s="59">
        <f t="shared" si="2"/>
        <v>46867</v>
      </c>
    </row>
    <row r="30" ht="14.25" customHeight="1">
      <c r="A30" s="23">
        <v>2024.0</v>
      </c>
      <c r="B30" s="57" t="s">
        <v>26</v>
      </c>
      <c r="C30" s="27">
        <v>22084.0</v>
      </c>
      <c r="D30" s="25">
        <v>8834.0</v>
      </c>
      <c r="E30" s="25">
        <v>3333.0</v>
      </c>
      <c r="F30" s="25"/>
      <c r="G30" s="25">
        <v>800.0</v>
      </c>
      <c r="H30" s="25">
        <v>6466.0</v>
      </c>
      <c r="I30" s="25">
        <v>6250.0</v>
      </c>
      <c r="J30" s="61">
        <v>10890.41</v>
      </c>
      <c r="K30" s="61"/>
      <c r="L30" s="61"/>
      <c r="M30" s="61"/>
      <c r="N30" s="25"/>
      <c r="O30" s="62">
        <f t="shared" si="1"/>
        <v>58657.41</v>
      </c>
      <c r="P30" s="27">
        <v>1800.0</v>
      </c>
      <c r="Q30" s="25">
        <v>200.0</v>
      </c>
      <c r="R30" s="28"/>
      <c r="S30" s="29">
        <v>2650.0</v>
      </c>
      <c r="T30" s="28"/>
      <c r="U30" s="63">
        <f t="shared" si="2"/>
        <v>56657.41</v>
      </c>
    </row>
    <row r="31" ht="14.25" customHeight="1">
      <c r="A31" s="23">
        <v>2025.0</v>
      </c>
      <c r="B31" s="57" t="s">
        <v>27</v>
      </c>
      <c r="C31" s="27">
        <v>22084.0</v>
      </c>
      <c r="D31" s="25">
        <v>8834.0</v>
      </c>
      <c r="E31" s="25">
        <v>3333.0</v>
      </c>
      <c r="F31" s="25"/>
      <c r="G31" s="25">
        <v>800.0</v>
      </c>
      <c r="H31" s="25">
        <v>6466.0</v>
      </c>
      <c r="I31" s="25">
        <v>7950.0</v>
      </c>
      <c r="J31" s="25"/>
      <c r="K31" s="25"/>
      <c r="L31" s="25"/>
      <c r="M31" s="25"/>
      <c r="N31" s="25"/>
      <c r="O31" s="58">
        <f t="shared" si="1"/>
        <v>49467</v>
      </c>
      <c r="P31" s="27">
        <v>1800.0</v>
      </c>
      <c r="Q31" s="25">
        <v>200.0</v>
      </c>
      <c r="R31" s="28"/>
      <c r="S31" s="29">
        <v>2650.0</v>
      </c>
      <c r="T31" s="28"/>
      <c r="U31" s="59">
        <f t="shared" si="2"/>
        <v>47467</v>
      </c>
    </row>
    <row r="32" ht="14.25" customHeight="1">
      <c r="A32" s="23">
        <v>2025.0</v>
      </c>
      <c r="B32" s="57" t="s">
        <v>28</v>
      </c>
      <c r="C32" s="27">
        <v>22084.0</v>
      </c>
      <c r="D32" s="25">
        <v>8834.0</v>
      </c>
      <c r="E32" s="25">
        <v>3333.0</v>
      </c>
      <c r="F32" s="25"/>
      <c r="G32" s="25">
        <v>800.0</v>
      </c>
      <c r="H32" s="25">
        <v>6466.0</v>
      </c>
      <c r="I32" s="25">
        <v>12900.0</v>
      </c>
      <c r="J32" s="25"/>
      <c r="K32" s="25"/>
      <c r="L32" s="25"/>
      <c r="M32" s="25"/>
      <c r="N32" s="25"/>
      <c r="O32" s="58">
        <f t="shared" si="1"/>
        <v>54417</v>
      </c>
      <c r="P32" s="27">
        <v>1800.0</v>
      </c>
      <c r="Q32" s="25">
        <v>200.0</v>
      </c>
      <c r="R32" s="28"/>
      <c r="S32" s="29">
        <v>2650.0</v>
      </c>
      <c r="T32" s="28"/>
      <c r="U32" s="59">
        <f t="shared" si="2"/>
        <v>52417</v>
      </c>
    </row>
    <row r="33" ht="14.25" customHeight="1">
      <c r="A33" s="41">
        <v>2025.0</v>
      </c>
      <c r="B33" s="64" t="s">
        <v>29</v>
      </c>
      <c r="C33" s="45">
        <v>23629.0</v>
      </c>
      <c r="D33" s="43">
        <v>9452.0</v>
      </c>
      <c r="E33" s="43">
        <v>3333.0</v>
      </c>
      <c r="F33" s="43"/>
      <c r="G33" s="43">
        <v>800.0</v>
      </c>
      <c r="H33" s="43">
        <v>7209.0</v>
      </c>
      <c r="I33" s="43">
        <v>4500.0</v>
      </c>
      <c r="J33" s="43"/>
      <c r="K33" s="65">
        <v>6183.33</v>
      </c>
      <c r="L33" s="43"/>
      <c r="M33" s="43"/>
      <c r="N33" s="43"/>
      <c r="O33" s="66">
        <f t="shared" si="1"/>
        <v>55106.33</v>
      </c>
      <c r="P33" s="45">
        <v>1800.0</v>
      </c>
      <c r="Q33" s="43">
        <v>200.0</v>
      </c>
      <c r="R33" s="46"/>
      <c r="S33" s="47">
        <v>2835.0</v>
      </c>
      <c r="T33" s="46"/>
      <c r="U33" s="67">
        <f t="shared" si="2"/>
        <v>53106.33</v>
      </c>
    </row>
    <row r="34" ht="14.25" customHeight="1">
      <c r="A34" s="15">
        <v>2025.0</v>
      </c>
      <c r="B34" s="68" t="s">
        <v>30</v>
      </c>
      <c r="C34" s="19">
        <v>23629.0</v>
      </c>
      <c r="D34" s="17">
        <v>9452.0</v>
      </c>
      <c r="E34" s="17">
        <v>3333.0</v>
      </c>
      <c r="F34" s="17"/>
      <c r="G34" s="17">
        <v>800.0</v>
      </c>
      <c r="H34" s="17">
        <v>7209.0</v>
      </c>
      <c r="I34" s="17">
        <v>9450.0</v>
      </c>
      <c r="J34" s="17"/>
      <c r="K34" s="17"/>
      <c r="L34" s="17"/>
      <c r="M34" s="17"/>
      <c r="N34" s="17"/>
      <c r="O34" s="69">
        <f t="shared" si="1"/>
        <v>53873</v>
      </c>
      <c r="P34" s="19">
        <v>1800.0</v>
      </c>
      <c r="Q34" s="17">
        <v>200.0</v>
      </c>
      <c r="R34" s="20"/>
      <c r="S34" s="21">
        <v>2835.0</v>
      </c>
      <c r="T34" s="20"/>
      <c r="U34" s="70">
        <f t="shared" si="2"/>
        <v>51873</v>
      </c>
    </row>
    <row r="35" ht="14.25" customHeight="1">
      <c r="A35" s="23">
        <v>2025.0</v>
      </c>
      <c r="B35" s="57" t="s">
        <v>31</v>
      </c>
      <c r="C35" s="27">
        <v>23629.0</v>
      </c>
      <c r="D35" s="25">
        <v>9452.0</v>
      </c>
      <c r="E35" s="25">
        <v>3333.0</v>
      </c>
      <c r="F35" s="25"/>
      <c r="G35" s="25">
        <v>800.0</v>
      </c>
      <c r="H35" s="25">
        <v>7209.0</v>
      </c>
      <c r="I35" s="25">
        <v>9900.0</v>
      </c>
      <c r="J35" s="25"/>
      <c r="K35" s="25"/>
      <c r="L35" s="25"/>
      <c r="M35" s="25"/>
      <c r="N35" s="25"/>
      <c r="O35" s="58">
        <f t="shared" si="1"/>
        <v>54323</v>
      </c>
      <c r="P35" s="27">
        <v>1800.0</v>
      </c>
      <c r="Q35" s="25">
        <v>200.0</v>
      </c>
      <c r="R35" s="28"/>
      <c r="S35" s="29">
        <v>2835.0</v>
      </c>
      <c r="T35" s="28"/>
      <c r="U35" s="59">
        <f t="shared" si="2"/>
        <v>52323</v>
      </c>
    </row>
    <row r="36" ht="14.25" customHeight="1">
      <c r="A36" s="23">
        <v>2025.0</v>
      </c>
      <c r="B36" s="57" t="s">
        <v>32</v>
      </c>
      <c r="C36" s="27">
        <v>23629.0</v>
      </c>
      <c r="D36" s="25">
        <v>9452.0</v>
      </c>
      <c r="E36" s="25">
        <v>3333.0</v>
      </c>
      <c r="F36" s="25"/>
      <c r="G36" s="25">
        <v>800.0</v>
      </c>
      <c r="H36" s="25">
        <v>7209.0</v>
      </c>
      <c r="I36" s="25">
        <v>7950.0</v>
      </c>
      <c r="J36" s="25"/>
      <c r="K36" s="25"/>
      <c r="L36" s="25"/>
      <c r="M36" s="25"/>
      <c r="N36" s="25"/>
      <c r="O36" s="58">
        <f t="shared" si="1"/>
        <v>52373</v>
      </c>
      <c r="P36" s="27">
        <v>1800.0</v>
      </c>
      <c r="Q36" s="25">
        <v>200.0</v>
      </c>
      <c r="R36" s="28"/>
      <c r="S36" s="29">
        <v>2835.0</v>
      </c>
      <c r="T36" s="28"/>
      <c r="U36" s="59">
        <f t="shared" si="2"/>
        <v>50373</v>
      </c>
    </row>
    <row r="37" ht="14.25" customHeight="1">
      <c r="A37" s="23">
        <v>2025.0</v>
      </c>
      <c r="B37" s="57" t="s">
        <v>23</v>
      </c>
      <c r="C37" s="27">
        <v>23629.0</v>
      </c>
      <c r="D37" s="25">
        <v>9452.0</v>
      </c>
      <c r="E37" s="25">
        <v>3333.0</v>
      </c>
      <c r="F37" s="25"/>
      <c r="G37" s="25">
        <v>800.0</v>
      </c>
      <c r="H37" s="25">
        <v>7209.0</v>
      </c>
      <c r="I37" s="25">
        <v>8550.0</v>
      </c>
      <c r="J37" s="25"/>
      <c r="K37" s="25"/>
      <c r="L37" s="25"/>
      <c r="M37" s="25"/>
      <c r="N37" s="25"/>
      <c r="O37" s="58">
        <f t="shared" si="1"/>
        <v>52973</v>
      </c>
      <c r="P37" s="27">
        <v>1800.0</v>
      </c>
      <c r="Q37" s="25">
        <v>200.0</v>
      </c>
      <c r="R37" s="28"/>
      <c r="S37" s="29">
        <v>2835.0</v>
      </c>
      <c r="T37" s="28"/>
      <c r="U37" s="59">
        <f t="shared" si="2"/>
        <v>50973</v>
      </c>
    </row>
    <row r="38" ht="14.25" customHeight="1">
      <c r="A38" s="23">
        <v>2025.0</v>
      </c>
      <c r="B38" s="57" t="s">
        <v>24</v>
      </c>
      <c r="C38" s="27">
        <v>23629.0</v>
      </c>
      <c r="D38" s="25">
        <v>9452.0</v>
      </c>
      <c r="E38" s="25">
        <v>3333.0</v>
      </c>
      <c r="F38" s="25"/>
      <c r="G38" s="25">
        <v>800.0</v>
      </c>
      <c r="H38" s="25">
        <v>7209.0</v>
      </c>
      <c r="I38" s="25">
        <v>12600.0</v>
      </c>
      <c r="J38" s="25"/>
      <c r="K38" s="25"/>
      <c r="L38" s="25"/>
      <c r="M38" s="25"/>
      <c r="N38" s="25"/>
      <c r="O38" s="58">
        <f t="shared" si="1"/>
        <v>57023</v>
      </c>
      <c r="P38" s="27">
        <v>1800.0</v>
      </c>
      <c r="Q38" s="24">
        <v>200.0</v>
      </c>
      <c r="R38" s="57"/>
      <c r="S38" s="29">
        <v>2835.0</v>
      </c>
      <c r="T38" s="28"/>
      <c r="U38" s="59">
        <f t="shared" si="2"/>
        <v>55023</v>
      </c>
    </row>
    <row r="39" ht="14.25" customHeight="1">
      <c r="A39" s="23">
        <v>2025.0</v>
      </c>
      <c r="B39" s="57" t="s">
        <v>25</v>
      </c>
      <c r="C39" s="27">
        <v>23629.0</v>
      </c>
      <c r="D39" s="25">
        <v>9452.0</v>
      </c>
      <c r="E39" s="25">
        <v>3333.0</v>
      </c>
      <c r="F39" s="25"/>
      <c r="G39" s="25">
        <v>800.0</v>
      </c>
      <c r="H39" s="25">
        <v>7209.0</v>
      </c>
      <c r="I39" s="25">
        <v>8850.0</v>
      </c>
      <c r="J39" s="25"/>
      <c r="K39" s="25"/>
      <c r="L39" s="25"/>
      <c r="M39" s="25"/>
      <c r="N39" s="25"/>
      <c r="O39" s="58">
        <f t="shared" si="1"/>
        <v>53273</v>
      </c>
      <c r="P39" s="71">
        <v>1800.0</v>
      </c>
      <c r="Q39" s="24">
        <v>200.0</v>
      </c>
      <c r="R39" s="57"/>
      <c r="S39" s="72">
        <v>1586.0</v>
      </c>
      <c r="T39" s="28">
        <v>1250.0</v>
      </c>
      <c r="U39" s="59">
        <f t="shared" si="2"/>
        <v>51273</v>
      </c>
    </row>
    <row r="40" ht="14.25" customHeight="1">
      <c r="A40" s="23">
        <v>2025.0</v>
      </c>
      <c r="B40" s="57" t="s">
        <v>33</v>
      </c>
      <c r="C40" s="27">
        <v>23629.0</v>
      </c>
      <c r="D40" s="25">
        <v>9452.0</v>
      </c>
      <c r="E40" s="25">
        <v>3333.0</v>
      </c>
      <c r="F40" s="25"/>
      <c r="G40" s="25">
        <v>800.0</v>
      </c>
      <c r="H40" s="25">
        <v>7209.0</v>
      </c>
      <c r="I40" s="25">
        <v>7950.0</v>
      </c>
      <c r="J40" s="25"/>
      <c r="K40" s="25"/>
      <c r="L40" s="25"/>
      <c r="M40" s="25"/>
      <c r="N40" s="25"/>
      <c r="O40" s="58">
        <f t="shared" si="1"/>
        <v>52373</v>
      </c>
      <c r="P40" s="71">
        <v>1800.0</v>
      </c>
      <c r="Q40" s="24">
        <v>200.0</v>
      </c>
      <c r="R40" s="57"/>
      <c r="S40" s="72">
        <v>1586.0</v>
      </c>
      <c r="T40" s="28">
        <v>1250.0</v>
      </c>
      <c r="U40" s="59">
        <f t="shared" si="2"/>
        <v>50373</v>
      </c>
    </row>
    <row r="41" ht="14.25" customHeight="1">
      <c r="A41" s="23">
        <v>2025.0</v>
      </c>
      <c r="B41" s="57" t="s">
        <v>34</v>
      </c>
      <c r="C41" s="27">
        <v>23629.0</v>
      </c>
      <c r="D41" s="25">
        <v>9452.0</v>
      </c>
      <c r="E41" s="25">
        <v>3333.0</v>
      </c>
      <c r="F41" s="25"/>
      <c r="G41" s="25">
        <v>800.0</v>
      </c>
      <c r="H41" s="25">
        <v>7209.0</v>
      </c>
      <c r="I41" s="25">
        <v>8850.0</v>
      </c>
      <c r="J41" s="25"/>
      <c r="K41" s="25"/>
      <c r="L41" s="25"/>
      <c r="M41" s="25"/>
      <c r="N41" s="25"/>
      <c r="O41" s="58">
        <f t="shared" si="1"/>
        <v>53273</v>
      </c>
      <c r="P41" s="71">
        <v>1800.0</v>
      </c>
      <c r="Q41" s="24">
        <v>200.0</v>
      </c>
      <c r="R41" s="57"/>
      <c r="S41" s="72">
        <v>1586.0</v>
      </c>
      <c r="T41" s="28">
        <v>1250.0</v>
      </c>
      <c r="U41" s="59">
        <f t="shared" si="2"/>
        <v>51273</v>
      </c>
    </row>
    <row r="42" ht="14.25" customHeight="1">
      <c r="A42" s="23">
        <v>2025.0</v>
      </c>
      <c r="B42" s="57" t="s">
        <v>26</v>
      </c>
      <c r="C42" s="27">
        <v>22841.0</v>
      </c>
      <c r="D42" s="25">
        <v>9137.0</v>
      </c>
      <c r="E42" s="25">
        <v>3222.0</v>
      </c>
      <c r="F42" s="25"/>
      <c r="G42" s="25">
        <v>773.0</v>
      </c>
      <c r="H42" s="25">
        <v>6969.0</v>
      </c>
      <c r="I42" s="25">
        <v>9750.0</v>
      </c>
      <c r="J42" s="61">
        <v>8545.34</v>
      </c>
      <c r="K42" s="25"/>
      <c r="L42" s="25"/>
      <c r="M42" s="25"/>
      <c r="N42" s="25"/>
      <c r="O42" s="62">
        <f t="shared" si="1"/>
        <v>61237.34</v>
      </c>
      <c r="P42" s="71">
        <v>1800.0</v>
      </c>
      <c r="Q42" s="24">
        <v>200.0</v>
      </c>
      <c r="R42" s="57"/>
      <c r="S42" s="72">
        <v>1492.0</v>
      </c>
      <c r="T42" s="28">
        <v>1250.0</v>
      </c>
      <c r="U42" s="63">
        <f t="shared" si="2"/>
        <v>59237.34</v>
      </c>
    </row>
    <row r="43" ht="14.25" customHeight="1">
      <c r="A43" s="73">
        <v>2026.0</v>
      </c>
      <c r="B43" s="57" t="s">
        <v>27</v>
      </c>
      <c r="C43" s="27">
        <v>32789.0</v>
      </c>
      <c r="D43" s="25">
        <v>13115.0</v>
      </c>
      <c r="E43" s="25"/>
      <c r="F43" s="25"/>
      <c r="G43" s="25"/>
      <c r="H43" s="25"/>
      <c r="I43" s="25"/>
      <c r="J43" s="25"/>
      <c r="K43" s="25"/>
      <c r="L43" s="25">
        <v>47779.0</v>
      </c>
      <c r="M43" s="25">
        <v>1645.0</v>
      </c>
      <c r="N43" s="25">
        <v>3599.0</v>
      </c>
      <c r="O43" s="58">
        <f t="shared" si="1"/>
        <v>98927</v>
      </c>
      <c r="P43" s="27">
        <v>3935.0</v>
      </c>
      <c r="Q43" s="24">
        <v>200.0</v>
      </c>
      <c r="R43" s="57"/>
      <c r="S43" s="29">
        <v>2444.0</v>
      </c>
      <c r="T43" s="28">
        <v>1491.0</v>
      </c>
      <c r="U43" s="59">
        <f t="shared" si="2"/>
        <v>94792</v>
      </c>
    </row>
    <row r="44" ht="14.25" customHeight="1">
      <c r="A44" s="73">
        <v>2026.0</v>
      </c>
      <c r="B44" s="57" t="s">
        <v>28</v>
      </c>
      <c r="C44" s="27">
        <v>29896.0</v>
      </c>
      <c r="D44" s="25">
        <v>11958.0</v>
      </c>
      <c r="E44" s="25"/>
      <c r="F44" s="25"/>
      <c r="G44" s="25"/>
      <c r="H44" s="25"/>
      <c r="I44" s="25"/>
      <c r="J44" s="25"/>
      <c r="K44" s="25"/>
      <c r="L44" s="25">
        <v>43563.0</v>
      </c>
      <c r="M44" s="25">
        <v>1500.0</v>
      </c>
      <c r="N44" s="25"/>
      <c r="O44" s="58">
        <f t="shared" si="1"/>
        <v>86917</v>
      </c>
      <c r="P44" s="27">
        <v>3588.0</v>
      </c>
      <c r="Q44" s="24">
        <v>200.0</v>
      </c>
      <c r="R44" s="57"/>
      <c r="S44" s="29">
        <v>2338.0</v>
      </c>
      <c r="T44" s="28">
        <v>1250.0</v>
      </c>
      <c r="U44" s="59">
        <f t="shared" si="2"/>
        <v>83129</v>
      </c>
    </row>
    <row r="45" ht="14.25" customHeight="1">
      <c r="A45" s="74">
        <v>2026.0</v>
      </c>
      <c r="B45" s="64" t="s">
        <v>29</v>
      </c>
      <c r="C45" s="45">
        <v>29896.0</v>
      </c>
      <c r="D45" s="43">
        <v>11958.0</v>
      </c>
      <c r="E45" s="43"/>
      <c r="F45" s="43"/>
      <c r="G45" s="43"/>
      <c r="H45" s="43"/>
      <c r="I45" s="43"/>
      <c r="J45" s="43"/>
      <c r="K45" s="43"/>
      <c r="L45" s="43">
        <v>43563.0</v>
      </c>
      <c r="M45" s="43">
        <v>1500.0</v>
      </c>
      <c r="N45" s="43"/>
      <c r="O45" s="75">
        <f t="shared" si="1"/>
        <v>86917</v>
      </c>
      <c r="P45" s="45">
        <v>3588.0</v>
      </c>
      <c r="Q45" s="42">
        <v>200.0</v>
      </c>
      <c r="R45" s="64"/>
      <c r="S45" s="47">
        <v>2338.0</v>
      </c>
      <c r="T45" s="46">
        <v>1250.0</v>
      </c>
      <c r="U45" s="76">
        <f t="shared" si="2"/>
        <v>83129</v>
      </c>
    </row>
    <row r="46" ht="14.25" customHeight="1">
      <c r="A46" s="77">
        <v>2026.0</v>
      </c>
      <c r="B46" s="68" t="s">
        <v>30</v>
      </c>
      <c r="C46" s="19">
        <v>51250.0</v>
      </c>
      <c r="D46" s="17">
        <v>25625.0</v>
      </c>
      <c r="E46" s="17"/>
      <c r="F46" s="17"/>
      <c r="G46" s="17"/>
      <c r="H46" s="17"/>
      <c r="I46" s="17"/>
      <c r="J46" s="17"/>
      <c r="K46" s="17"/>
      <c r="L46" s="17">
        <v>8542.0</v>
      </c>
      <c r="M46" s="17">
        <v>1500.0</v>
      </c>
      <c r="N46" s="17"/>
      <c r="O46" s="69">
        <f t="shared" si="1"/>
        <v>86917</v>
      </c>
      <c r="P46" s="19">
        <v>3588.0</v>
      </c>
      <c r="Q46" s="16">
        <v>200.0</v>
      </c>
      <c r="R46" s="68"/>
      <c r="S46" s="21">
        <v>2338.0</v>
      </c>
      <c r="T46" s="20">
        <v>1250.0</v>
      </c>
      <c r="U46" s="70">
        <f t="shared" si="2"/>
        <v>83129</v>
      </c>
    </row>
    <row r="47" ht="14.25" customHeight="1">
      <c r="A47" s="73">
        <v>2026.0</v>
      </c>
      <c r="B47" s="57" t="s">
        <v>31</v>
      </c>
      <c r="C47" s="27">
        <v>46290.0</v>
      </c>
      <c r="D47" s="25">
        <v>23145.0</v>
      </c>
      <c r="E47" s="25"/>
      <c r="F47" s="25"/>
      <c r="G47" s="25"/>
      <c r="H47" s="25"/>
      <c r="I47" s="25"/>
      <c r="J47" s="25"/>
      <c r="K47" s="25"/>
      <c r="L47" s="25">
        <v>7715.0</v>
      </c>
      <c r="M47" s="25">
        <v>1355.0</v>
      </c>
      <c r="N47" s="25"/>
      <c r="O47" s="58">
        <f t="shared" si="1"/>
        <v>78505</v>
      </c>
      <c r="P47" s="27">
        <v>3240.0</v>
      </c>
      <c r="Q47" s="24">
        <v>200.0</v>
      </c>
      <c r="R47" s="57"/>
      <c r="S47" s="29"/>
      <c r="T47" s="28"/>
      <c r="U47" s="59">
        <f t="shared" si="2"/>
        <v>75065</v>
      </c>
    </row>
    <row r="48" ht="14.25" customHeight="1">
      <c r="A48" s="73">
        <v>2026.0</v>
      </c>
      <c r="B48" s="57" t="s">
        <v>32</v>
      </c>
      <c r="C48" s="27"/>
      <c r="D48" s="25"/>
      <c r="E48" s="25"/>
      <c r="F48" s="25"/>
      <c r="G48" s="25"/>
      <c r="H48" s="25"/>
      <c r="I48" s="25"/>
      <c r="J48" s="25"/>
      <c r="K48" s="25"/>
      <c r="L48" s="25"/>
      <c r="M48" s="78">
        <v>1000.0</v>
      </c>
      <c r="N48" s="25"/>
      <c r="O48" s="58">
        <f t="shared" si="1"/>
        <v>1000</v>
      </c>
      <c r="P48" s="27"/>
      <c r="Q48" s="25"/>
      <c r="R48" s="28"/>
      <c r="S48" s="29"/>
      <c r="T48" s="28"/>
      <c r="U48" s="59">
        <f t="shared" si="2"/>
        <v>1000</v>
      </c>
    </row>
    <row r="49" ht="14.25" customHeight="1">
      <c r="A49" s="73">
        <v>2026.0</v>
      </c>
      <c r="B49" s="57" t="s">
        <v>23</v>
      </c>
      <c r="C49" s="27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58">
        <f t="shared" si="1"/>
        <v>0</v>
      </c>
      <c r="P49" s="27"/>
      <c r="Q49" s="25"/>
      <c r="R49" s="28"/>
      <c r="S49" s="29"/>
      <c r="T49" s="28"/>
      <c r="U49" s="59">
        <f t="shared" si="2"/>
        <v>0</v>
      </c>
    </row>
    <row r="50" ht="14.25" customHeight="1">
      <c r="A50" s="73">
        <v>2026.0</v>
      </c>
      <c r="B50" s="57" t="s">
        <v>24</v>
      </c>
      <c r="C50" s="27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58">
        <f t="shared" si="1"/>
        <v>0</v>
      </c>
      <c r="P50" s="27"/>
      <c r="Q50" s="25"/>
      <c r="R50" s="28"/>
      <c r="S50" s="29"/>
      <c r="T50" s="28"/>
      <c r="U50" s="59">
        <f t="shared" si="2"/>
        <v>0</v>
      </c>
    </row>
    <row r="51" ht="14.25" customHeight="1">
      <c r="A51" s="73">
        <v>2026.0</v>
      </c>
      <c r="B51" s="57" t="s">
        <v>25</v>
      </c>
      <c r="C51" s="27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58">
        <f t="shared" si="1"/>
        <v>0</v>
      </c>
      <c r="P51" s="27"/>
      <c r="Q51" s="25"/>
      <c r="R51" s="28"/>
      <c r="S51" s="29"/>
      <c r="T51" s="28"/>
      <c r="U51" s="59">
        <f t="shared" si="2"/>
        <v>0</v>
      </c>
    </row>
    <row r="52" ht="14.25" customHeight="1">
      <c r="A52" s="73">
        <v>2026.0</v>
      </c>
      <c r="B52" s="57" t="s">
        <v>33</v>
      </c>
      <c r="C52" s="27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58">
        <f t="shared" si="1"/>
        <v>0</v>
      </c>
      <c r="P52" s="27"/>
      <c r="Q52" s="25"/>
      <c r="R52" s="28"/>
      <c r="S52" s="29"/>
      <c r="T52" s="28"/>
      <c r="U52" s="59">
        <f t="shared" si="2"/>
        <v>0</v>
      </c>
    </row>
    <row r="53" ht="14.25" customHeight="1">
      <c r="A53" s="73">
        <v>2026.0</v>
      </c>
      <c r="B53" s="57" t="s">
        <v>34</v>
      </c>
      <c r="C53" s="27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58">
        <f t="shared" si="1"/>
        <v>0</v>
      </c>
      <c r="P53" s="27"/>
      <c r="Q53" s="25"/>
      <c r="R53" s="28"/>
      <c r="S53" s="29"/>
      <c r="T53" s="28"/>
      <c r="U53" s="59">
        <f t="shared" si="2"/>
        <v>0</v>
      </c>
    </row>
    <row r="54" ht="14.25" customHeight="1">
      <c r="A54" s="73">
        <v>2026.0</v>
      </c>
      <c r="B54" s="57" t="s">
        <v>26</v>
      </c>
      <c r="C54" s="27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58">
        <f t="shared" si="1"/>
        <v>0</v>
      </c>
      <c r="P54" s="27"/>
      <c r="Q54" s="25"/>
      <c r="R54" s="28"/>
      <c r="S54" s="29"/>
      <c r="T54" s="28"/>
      <c r="U54" s="59">
        <f t="shared" si="2"/>
        <v>0</v>
      </c>
    </row>
    <row r="55" ht="14.25" customHeight="1">
      <c r="A55" s="73">
        <v>2027.0</v>
      </c>
      <c r="B55" s="57" t="s">
        <v>27</v>
      </c>
      <c r="C55" s="2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58">
        <f t="shared" si="1"/>
        <v>0</v>
      </c>
      <c r="P55" s="27"/>
      <c r="Q55" s="25"/>
      <c r="R55" s="28"/>
      <c r="S55" s="29"/>
      <c r="T55" s="28"/>
      <c r="U55" s="59">
        <f t="shared" si="2"/>
        <v>0</v>
      </c>
    </row>
    <row r="56" ht="14.25" customHeight="1">
      <c r="A56" s="73">
        <v>2027.0</v>
      </c>
      <c r="B56" s="57" t="s">
        <v>28</v>
      </c>
      <c r="C56" s="27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58">
        <f t="shared" si="1"/>
        <v>0</v>
      </c>
      <c r="P56" s="27"/>
      <c r="Q56" s="25"/>
      <c r="R56" s="28"/>
      <c r="S56" s="29"/>
      <c r="T56" s="28"/>
      <c r="U56" s="59">
        <f t="shared" si="2"/>
        <v>0</v>
      </c>
    </row>
    <row r="57" ht="14.25" customHeight="1">
      <c r="A57" s="74">
        <v>2027.0</v>
      </c>
      <c r="B57" s="64" t="s">
        <v>29</v>
      </c>
      <c r="C57" s="45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75">
        <f t="shared" si="1"/>
        <v>0</v>
      </c>
      <c r="P57" s="45"/>
      <c r="Q57" s="43"/>
      <c r="R57" s="46"/>
      <c r="S57" s="47"/>
      <c r="T57" s="46"/>
      <c r="U57" s="76">
        <f t="shared" si="2"/>
        <v>0</v>
      </c>
    </row>
    <row r="58" ht="14.25" customHeight="1">
      <c r="A58" s="77">
        <v>2027.0</v>
      </c>
      <c r="B58" s="68" t="s">
        <v>30</v>
      </c>
      <c r="C58" s="19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69">
        <f t="shared" si="1"/>
        <v>0</v>
      </c>
      <c r="P58" s="19"/>
      <c r="Q58" s="17"/>
      <c r="R58" s="20"/>
      <c r="S58" s="21"/>
      <c r="T58" s="20"/>
      <c r="U58" s="70">
        <f t="shared" si="2"/>
        <v>0</v>
      </c>
    </row>
    <row r="59" ht="14.25" customHeight="1">
      <c r="A59" s="73">
        <v>2027.0</v>
      </c>
      <c r="B59" s="57" t="s">
        <v>31</v>
      </c>
      <c r="C59" s="27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58">
        <f t="shared" si="1"/>
        <v>0</v>
      </c>
      <c r="P59" s="27"/>
      <c r="Q59" s="25"/>
      <c r="R59" s="28"/>
      <c r="S59" s="29"/>
      <c r="T59" s="28"/>
      <c r="U59" s="59">
        <f t="shared" si="2"/>
        <v>0</v>
      </c>
    </row>
    <row r="60" ht="14.25" customHeight="1">
      <c r="A60" s="73">
        <v>2027.0</v>
      </c>
      <c r="B60" s="57" t="s">
        <v>32</v>
      </c>
      <c r="C60" s="27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58">
        <f t="shared" si="1"/>
        <v>0</v>
      </c>
      <c r="P60" s="27"/>
      <c r="Q60" s="25"/>
      <c r="R60" s="28"/>
      <c r="S60" s="29"/>
      <c r="T60" s="28"/>
      <c r="U60" s="59">
        <f t="shared" si="2"/>
        <v>0</v>
      </c>
    </row>
    <row r="61" ht="14.25" customHeight="1">
      <c r="A61" s="73">
        <v>2027.0</v>
      </c>
      <c r="B61" s="57" t="s">
        <v>23</v>
      </c>
      <c r="C61" s="27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58">
        <f t="shared" si="1"/>
        <v>0</v>
      </c>
      <c r="P61" s="27"/>
      <c r="Q61" s="25"/>
      <c r="R61" s="28"/>
      <c r="S61" s="29"/>
      <c r="T61" s="28"/>
      <c r="U61" s="59">
        <f t="shared" si="2"/>
        <v>0</v>
      </c>
    </row>
    <row r="62" ht="14.25" customHeight="1">
      <c r="A62" s="73">
        <v>2027.0</v>
      </c>
      <c r="B62" s="57" t="s">
        <v>24</v>
      </c>
      <c r="C62" s="27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58">
        <f t="shared" si="1"/>
        <v>0</v>
      </c>
      <c r="P62" s="27"/>
      <c r="Q62" s="25"/>
      <c r="R62" s="28"/>
      <c r="S62" s="29"/>
      <c r="T62" s="28"/>
      <c r="U62" s="59">
        <f t="shared" si="2"/>
        <v>0</v>
      </c>
    </row>
    <row r="63" ht="14.25" customHeight="1">
      <c r="A63" s="73">
        <v>2027.0</v>
      </c>
      <c r="B63" s="57" t="s">
        <v>25</v>
      </c>
      <c r="C63" s="2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58">
        <f t="shared" si="1"/>
        <v>0</v>
      </c>
      <c r="P63" s="27"/>
      <c r="Q63" s="25"/>
      <c r="R63" s="28"/>
      <c r="S63" s="29"/>
      <c r="T63" s="28"/>
      <c r="U63" s="59">
        <f t="shared" si="2"/>
        <v>0</v>
      </c>
    </row>
    <row r="64" ht="14.25" customHeight="1">
      <c r="A64" s="73">
        <v>2027.0</v>
      </c>
      <c r="B64" s="57" t="s">
        <v>33</v>
      </c>
      <c r="C64" s="27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58">
        <f t="shared" si="1"/>
        <v>0</v>
      </c>
      <c r="P64" s="27"/>
      <c r="Q64" s="25"/>
      <c r="R64" s="28"/>
      <c r="S64" s="29"/>
      <c r="T64" s="28"/>
      <c r="U64" s="59">
        <f t="shared" si="2"/>
        <v>0</v>
      </c>
    </row>
    <row r="65" ht="14.25" customHeight="1">
      <c r="A65" s="73">
        <v>2027.0</v>
      </c>
      <c r="B65" s="57" t="s">
        <v>34</v>
      </c>
      <c r="C65" s="27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58">
        <f t="shared" si="1"/>
        <v>0</v>
      </c>
      <c r="P65" s="27"/>
      <c r="Q65" s="25"/>
      <c r="R65" s="28"/>
      <c r="S65" s="29"/>
      <c r="T65" s="28"/>
      <c r="U65" s="59">
        <f t="shared" si="2"/>
        <v>0</v>
      </c>
    </row>
    <row r="66" ht="14.25" customHeight="1">
      <c r="A66" s="73">
        <v>2027.0</v>
      </c>
      <c r="B66" s="57" t="s">
        <v>26</v>
      </c>
      <c r="C66" s="27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58">
        <f t="shared" si="1"/>
        <v>0</v>
      </c>
      <c r="P66" s="27"/>
      <c r="Q66" s="25"/>
      <c r="R66" s="28"/>
      <c r="S66" s="29"/>
      <c r="T66" s="28"/>
      <c r="U66" s="59">
        <f t="shared" si="2"/>
        <v>0</v>
      </c>
    </row>
    <row r="67" ht="14.25" customHeight="1">
      <c r="A67" s="73">
        <v>2028.0</v>
      </c>
      <c r="B67" s="57" t="s">
        <v>27</v>
      </c>
      <c r="C67" s="27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58">
        <f t="shared" si="1"/>
        <v>0</v>
      </c>
      <c r="P67" s="27"/>
      <c r="Q67" s="25"/>
      <c r="R67" s="28"/>
      <c r="S67" s="29"/>
      <c r="T67" s="28"/>
      <c r="U67" s="59">
        <f t="shared" si="2"/>
        <v>0</v>
      </c>
    </row>
    <row r="68" ht="14.25" customHeight="1">
      <c r="A68" s="73">
        <v>2028.0</v>
      </c>
      <c r="B68" s="57" t="s">
        <v>28</v>
      </c>
      <c r="C68" s="27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58">
        <f t="shared" si="1"/>
        <v>0</v>
      </c>
      <c r="P68" s="27"/>
      <c r="Q68" s="25"/>
      <c r="R68" s="28"/>
      <c r="S68" s="29"/>
      <c r="T68" s="28"/>
      <c r="U68" s="59">
        <f t="shared" si="2"/>
        <v>0</v>
      </c>
    </row>
    <row r="69" ht="14.25" customHeight="1">
      <c r="A69" s="74">
        <v>2028.0</v>
      </c>
      <c r="B69" s="64" t="s">
        <v>29</v>
      </c>
      <c r="C69" s="45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75">
        <f t="shared" si="1"/>
        <v>0</v>
      </c>
      <c r="P69" s="45"/>
      <c r="Q69" s="43"/>
      <c r="R69" s="46"/>
      <c r="S69" s="47"/>
      <c r="T69" s="46"/>
      <c r="U69" s="76">
        <f t="shared" si="2"/>
        <v>0</v>
      </c>
    </row>
    <row r="70" ht="14.25" customHeight="1">
      <c r="U70" s="79"/>
    </row>
    <row r="71" ht="14.25" customHeight="1">
      <c r="U71" s="79"/>
    </row>
    <row r="72" ht="14.25" customHeight="1">
      <c r="U72" s="79"/>
    </row>
    <row r="73" ht="14.25" customHeight="1">
      <c r="U73" s="79"/>
    </row>
    <row r="74" ht="14.25" customHeight="1">
      <c r="U74" s="79"/>
    </row>
    <row r="75" ht="14.25" customHeight="1">
      <c r="U75" s="79"/>
    </row>
    <row r="76" ht="14.25" customHeight="1">
      <c r="U76" s="79"/>
    </row>
    <row r="77" ht="14.25" customHeight="1">
      <c r="U77" s="79"/>
    </row>
    <row r="78" ht="14.25" customHeight="1">
      <c r="U78" s="79"/>
    </row>
    <row r="79" ht="14.25" customHeight="1">
      <c r="U79" s="79"/>
    </row>
    <row r="80" ht="14.25" customHeight="1">
      <c r="U80" s="79"/>
    </row>
    <row r="81" ht="14.25" customHeight="1">
      <c r="U81" s="79"/>
    </row>
    <row r="82" ht="14.25" customHeight="1">
      <c r="U82" s="79"/>
    </row>
    <row r="83" ht="14.25" customHeight="1">
      <c r="U83" s="79"/>
    </row>
    <row r="84" ht="14.25" customHeight="1">
      <c r="U84" s="79"/>
    </row>
    <row r="85" ht="14.25" customHeight="1">
      <c r="U85" s="79"/>
    </row>
    <row r="86" ht="14.25" customHeight="1">
      <c r="U86" s="79"/>
    </row>
    <row r="87" ht="14.25" customHeight="1">
      <c r="U87" s="79"/>
    </row>
    <row r="88" ht="14.25" customHeight="1">
      <c r="U88" s="79"/>
    </row>
    <row r="89" ht="14.25" customHeight="1">
      <c r="U89" s="79"/>
    </row>
    <row r="90" ht="14.25" customHeight="1">
      <c r="U90" s="79"/>
    </row>
    <row r="91" ht="14.25" customHeight="1">
      <c r="U91" s="79"/>
    </row>
    <row r="92" ht="14.25" customHeight="1">
      <c r="U92" s="79"/>
    </row>
    <row r="93" ht="14.25" customHeight="1">
      <c r="U93" s="79"/>
    </row>
    <row r="94" ht="14.25" customHeight="1">
      <c r="U94" s="79"/>
    </row>
    <row r="95" ht="14.25" customHeight="1">
      <c r="U95" s="79"/>
    </row>
    <row r="96" ht="14.25" customHeight="1">
      <c r="U96" s="79"/>
    </row>
    <row r="97" ht="14.25" customHeight="1">
      <c r="U97" s="79"/>
    </row>
    <row r="98" ht="14.25" customHeight="1">
      <c r="U98" s="79"/>
    </row>
    <row r="99" ht="14.25" customHeight="1">
      <c r="U99" s="79"/>
    </row>
    <row r="100" ht="14.25" customHeight="1">
      <c r="U100" s="79"/>
    </row>
    <row r="101" ht="14.25" customHeight="1">
      <c r="U101" s="79"/>
    </row>
    <row r="102" ht="14.25" customHeight="1">
      <c r="U102" s="79"/>
    </row>
    <row r="103" ht="14.25" customHeight="1">
      <c r="U103" s="79"/>
    </row>
    <row r="104" ht="14.25" customHeight="1">
      <c r="U104" s="79"/>
    </row>
    <row r="105" ht="14.25" customHeight="1">
      <c r="U105" s="79"/>
    </row>
    <row r="106" ht="14.25" customHeight="1">
      <c r="U106" s="79"/>
    </row>
    <row r="107" ht="14.25" customHeight="1">
      <c r="U107" s="79"/>
    </row>
    <row r="108" ht="14.25" customHeight="1">
      <c r="U108" s="79"/>
    </row>
    <row r="109" ht="14.25" customHeight="1">
      <c r="U109" s="79"/>
    </row>
    <row r="110" ht="14.25" customHeight="1">
      <c r="U110" s="79"/>
    </row>
    <row r="111" ht="14.25" customHeight="1">
      <c r="U111" s="79"/>
    </row>
    <row r="112" ht="14.25" customHeight="1">
      <c r="U112" s="79"/>
    </row>
    <row r="113" ht="14.25" customHeight="1">
      <c r="U113" s="79"/>
    </row>
    <row r="114" ht="14.25" customHeight="1">
      <c r="U114" s="79"/>
    </row>
    <row r="115" ht="14.25" customHeight="1">
      <c r="U115" s="79"/>
    </row>
    <row r="116" ht="14.25" customHeight="1">
      <c r="U116" s="79"/>
    </row>
    <row r="117" ht="14.25" customHeight="1">
      <c r="U117" s="79"/>
    </row>
    <row r="118" ht="14.25" customHeight="1">
      <c r="U118" s="79"/>
    </row>
    <row r="119" ht="14.25" customHeight="1">
      <c r="U119" s="79"/>
    </row>
    <row r="120" ht="14.25" customHeight="1">
      <c r="U120" s="79"/>
    </row>
    <row r="121" ht="14.25" customHeight="1">
      <c r="U121" s="79"/>
    </row>
    <row r="122" ht="14.25" customHeight="1">
      <c r="U122" s="79"/>
    </row>
    <row r="123" ht="14.25" customHeight="1">
      <c r="U123" s="79"/>
    </row>
    <row r="124" ht="14.25" customHeight="1">
      <c r="U124" s="79"/>
    </row>
    <row r="125" ht="14.25" customHeight="1">
      <c r="U125" s="79"/>
    </row>
    <row r="126" ht="14.25" customHeight="1">
      <c r="U126" s="79"/>
    </row>
    <row r="127" ht="14.25" customHeight="1">
      <c r="U127" s="79"/>
    </row>
    <row r="128" ht="14.25" customHeight="1">
      <c r="U128" s="79"/>
    </row>
    <row r="129" ht="14.25" customHeight="1">
      <c r="U129" s="79"/>
    </row>
    <row r="130" ht="14.25" customHeight="1">
      <c r="U130" s="79"/>
    </row>
    <row r="131" ht="14.25" customHeight="1">
      <c r="U131" s="79"/>
    </row>
    <row r="132" ht="14.25" customHeight="1">
      <c r="U132" s="79"/>
    </row>
    <row r="133" ht="14.25" customHeight="1">
      <c r="U133" s="79"/>
    </row>
    <row r="134" ht="14.25" customHeight="1">
      <c r="U134" s="79"/>
    </row>
    <row r="135" ht="14.25" customHeight="1">
      <c r="U135" s="79"/>
    </row>
    <row r="136" ht="14.25" customHeight="1">
      <c r="U136" s="79"/>
    </row>
    <row r="137" ht="14.25" customHeight="1">
      <c r="U137" s="79"/>
    </row>
    <row r="138" ht="14.25" customHeight="1">
      <c r="U138" s="79"/>
    </row>
    <row r="139" ht="14.25" customHeight="1">
      <c r="U139" s="79"/>
    </row>
    <row r="140" ht="14.25" customHeight="1">
      <c r="U140" s="79"/>
    </row>
    <row r="141" ht="14.25" customHeight="1">
      <c r="U141" s="79"/>
    </row>
    <row r="142" ht="14.25" customHeight="1">
      <c r="U142" s="79"/>
    </row>
    <row r="143" ht="14.25" customHeight="1">
      <c r="U143" s="79"/>
    </row>
    <row r="144" ht="14.25" customHeight="1">
      <c r="U144" s="79"/>
    </row>
    <row r="145" ht="14.25" customHeight="1">
      <c r="U145" s="79"/>
    </row>
    <row r="146" ht="14.25" customHeight="1">
      <c r="U146" s="79"/>
    </row>
    <row r="147" ht="14.25" customHeight="1">
      <c r="U147" s="79"/>
    </row>
    <row r="148" ht="14.25" customHeight="1">
      <c r="U148" s="79"/>
    </row>
    <row r="149" ht="14.25" customHeight="1">
      <c r="U149" s="79"/>
    </row>
    <row r="150" ht="14.25" customHeight="1">
      <c r="U150" s="79"/>
    </row>
    <row r="151" ht="14.25" customHeight="1">
      <c r="U151" s="79"/>
    </row>
    <row r="152" ht="14.25" customHeight="1">
      <c r="U152" s="79"/>
    </row>
    <row r="153" ht="14.25" customHeight="1">
      <c r="U153" s="79"/>
    </row>
    <row r="154" ht="14.25" customHeight="1">
      <c r="U154" s="79"/>
    </row>
    <row r="155" ht="14.25" customHeight="1">
      <c r="U155" s="79"/>
    </row>
    <row r="156" ht="14.25" customHeight="1">
      <c r="U156" s="79"/>
    </row>
    <row r="157" ht="14.25" customHeight="1">
      <c r="U157" s="79"/>
    </row>
    <row r="158" ht="14.25" customHeight="1">
      <c r="U158" s="79"/>
    </row>
    <row r="159" ht="14.25" customHeight="1">
      <c r="U159" s="79"/>
    </row>
    <row r="160" ht="14.25" customHeight="1">
      <c r="U160" s="79"/>
    </row>
    <row r="161" ht="14.25" customHeight="1">
      <c r="U161" s="79"/>
    </row>
    <row r="162" ht="14.25" customHeight="1">
      <c r="U162" s="79"/>
    </row>
    <row r="163" ht="14.25" customHeight="1">
      <c r="U163" s="79"/>
    </row>
    <row r="164" ht="14.25" customHeight="1">
      <c r="U164" s="79"/>
    </row>
    <row r="165" ht="14.25" customHeight="1">
      <c r="U165" s="79"/>
    </row>
    <row r="166" ht="14.25" customHeight="1">
      <c r="U166" s="79"/>
    </row>
    <row r="167" ht="14.25" customHeight="1">
      <c r="U167" s="79"/>
    </row>
    <row r="168" ht="14.25" customHeight="1">
      <c r="U168" s="79"/>
    </row>
    <row r="169" ht="14.25" customHeight="1">
      <c r="U169" s="79"/>
    </row>
    <row r="170" ht="14.25" customHeight="1">
      <c r="U170" s="79"/>
    </row>
    <row r="171" ht="14.25" customHeight="1">
      <c r="U171" s="79"/>
    </row>
    <row r="172" ht="14.25" customHeight="1">
      <c r="U172" s="79"/>
    </row>
    <row r="173" ht="14.25" customHeight="1">
      <c r="U173" s="79"/>
    </row>
    <row r="174" ht="14.25" customHeight="1">
      <c r="U174" s="79"/>
    </row>
    <row r="175" ht="14.25" customHeight="1">
      <c r="U175" s="79"/>
    </row>
    <row r="176" ht="14.25" customHeight="1">
      <c r="U176" s="79"/>
    </row>
    <row r="177" ht="14.25" customHeight="1">
      <c r="U177" s="79"/>
    </row>
    <row r="178" ht="14.25" customHeight="1">
      <c r="U178" s="79"/>
    </row>
    <row r="179" ht="14.25" customHeight="1">
      <c r="U179" s="79"/>
    </row>
    <row r="180" ht="14.25" customHeight="1">
      <c r="U180" s="79"/>
    </row>
    <row r="181" ht="14.25" customHeight="1">
      <c r="U181" s="79"/>
    </row>
    <row r="182" ht="14.25" customHeight="1">
      <c r="U182" s="79"/>
    </row>
    <row r="183" ht="14.25" customHeight="1">
      <c r="U183" s="79"/>
    </row>
    <row r="184" ht="14.25" customHeight="1">
      <c r="U184" s="79"/>
    </row>
    <row r="185" ht="14.25" customHeight="1">
      <c r="U185" s="79"/>
    </row>
    <row r="186" ht="14.25" customHeight="1">
      <c r="U186" s="79"/>
    </row>
    <row r="187" ht="14.25" customHeight="1">
      <c r="U187" s="79"/>
    </row>
    <row r="188" ht="14.25" customHeight="1">
      <c r="U188" s="79"/>
    </row>
    <row r="189" ht="14.25" customHeight="1">
      <c r="U189" s="79"/>
    </row>
    <row r="190" ht="14.25" customHeight="1">
      <c r="U190" s="79"/>
    </row>
    <row r="191" ht="14.25" customHeight="1">
      <c r="U191" s="79"/>
    </row>
    <row r="192" ht="14.25" customHeight="1">
      <c r="U192" s="79"/>
    </row>
    <row r="193" ht="14.25" customHeight="1">
      <c r="U193" s="79"/>
    </row>
    <row r="194" ht="14.25" customHeight="1">
      <c r="U194" s="79"/>
    </row>
    <row r="195" ht="14.25" customHeight="1">
      <c r="U195" s="79"/>
    </row>
    <row r="196" ht="14.25" customHeight="1">
      <c r="U196" s="79"/>
    </row>
    <row r="197" ht="14.25" customHeight="1">
      <c r="U197" s="79"/>
    </row>
    <row r="198" ht="14.25" customHeight="1">
      <c r="U198" s="79"/>
    </row>
    <row r="199" ht="14.25" customHeight="1">
      <c r="U199" s="79"/>
    </row>
    <row r="200" ht="14.25" customHeight="1">
      <c r="U200" s="79"/>
    </row>
    <row r="201" ht="14.25" customHeight="1">
      <c r="U201" s="79"/>
    </row>
    <row r="202" ht="14.25" customHeight="1">
      <c r="U202" s="79"/>
    </row>
    <row r="203" ht="14.25" customHeight="1">
      <c r="U203" s="79"/>
    </row>
    <row r="204" ht="14.25" customHeight="1">
      <c r="U204" s="79"/>
    </row>
    <row r="205" ht="14.25" customHeight="1">
      <c r="U205" s="79"/>
    </row>
    <row r="206" ht="14.25" customHeight="1">
      <c r="U206" s="79"/>
    </row>
    <row r="207" ht="14.25" customHeight="1">
      <c r="U207" s="79"/>
    </row>
    <row r="208" ht="14.25" customHeight="1">
      <c r="U208" s="79"/>
    </row>
    <row r="209" ht="14.25" customHeight="1">
      <c r="U209" s="79"/>
    </row>
    <row r="210" ht="14.25" customHeight="1">
      <c r="U210" s="79"/>
    </row>
    <row r="211" ht="14.25" customHeight="1">
      <c r="U211" s="79"/>
    </row>
    <row r="212" ht="14.25" customHeight="1">
      <c r="U212" s="79"/>
    </row>
    <row r="213" ht="14.25" customHeight="1">
      <c r="U213" s="79"/>
    </row>
    <row r="214" ht="14.25" customHeight="1">
      <c r="U214" s="79"/>
    </row>
    <row r="215" ht="14.25" customHeight="1">
      <c r="U215" s="79"/>
    </row>
    <row r="216" ht="14.25" customHeight="1">
      <c r="U216" s="79"/>
    </row>
    <row r="217" ht="14.25" customHeight="1">
      <c r="U217" s="79"/>
    </row>
    <row r="218" ht="14.25" customHeight="1">
      <c r="U218" s="79"/>
    </row>
    <row r="219" ht="14.25" customHeight="1">
      <c r="U219" s="79"/>
    </row>
    <row r="220" ht="14.25" customHeight="1">
      <c r="U220" s="79"/>
    </row>
    <row r="221" ht="14.25" customHeight="1">
      <c r="U221" s="79"/>
    </row>
    <row r="222" ht="14.25" customHeight="1">
      <c r="U222" s="79"/>
    </row>
    <row r="223" ht="14.25" customHeight="1">
      <c r="U223" s="79"/>
    </row>
    <row r="224" ht="14.25" customHeight="1">
      <c r="U224" s="79"/>
    </row>
    <row r="225" ht="14.25" customHeight="1">
      <c r="U225" s="79"/>
    </row>
    <row r="226" ht="14.25" customHeight="1">
      <c r="U226" s="79"/>
    </row>
    <row r="227" ht="14.25" customHeight="1">
      <c r="U227" s="79"/>
    </row>
    <row r="228" ht="14.25" customHeight="1">
      <c r="U228" s="79"/>
    </row>
    <row r="229" ht="14.25" customHeight="1">
      <c r="U229" s="79"/>
    </row>
    <row r="230" ht="14.25" customHeight="1">
      <c r="U230" s="79"/>
    </row>
    <row r="231" ht="14.25" customHeight="1">
      <c r="U231" s="79"/>
    </row>
    <row r="232" ht="14.25" customHeight="1">
      <c r="U232" s="79"/>
    </row>
    <row r="233" ht="14.25" customHeight="1">
      <c r="U233" s="79"/>
    </row>
    <row r="234" ht="14.25" customHeight="1">
      <c r="U234" s="79"/>
    </row>
    <row r="235" ht="14.25" customHeight="1">
      <c r="U235" s="79"/>
    </row>
    <row r="236" ht="14.25" customHeight="1">
      <c r="U236" s="79"/>
    </row>
    <row r="237" ht="14.25" customHeight="1">
      <c r="U237" s="79"/>
    </row>
    <row r="238" ht="14.25" customHeight="1">
      <c r="U238" s="79"/>
    </row>
    <row r="239" ht="14.25" customHeight="1">
      <c r="U239" s="79"/>
    </row>
    <row r="240" ht="14.25" customHeight="1">
      <c r="U240" s="79"/>
    </row>
    <row r="241" ht="14.25" customHeight="1">
      <c r="U241" s="79"/>
    </row>
    <row r="242" ht="14.25" customHeight="1">
      <c r="U242" s="79"/>
    </row>
    <row r="243" ht="14.25" customHeight="1">
      <c r="U243" s="79"/>
    </row>
    <row r="244" ht="14.25" customHeight="1">
      <c r="U244" s="79"/>
    </row>
    <row r="245" ht="14.25" customHeight="1">
      <c r="U245" s="79"/>
    </row>
    <row r="246" ht="14.25" customHeight="1">
      <c r="U246" s="79"/>
    </row>
    <row r="247" ht="14.25" customHeight="1">
      <c r="U247" s="79"/>
    </row>
    <row r="248" ht="14.25" customHeight="1">
      <c r="U248" s="79"/>
    </row>
    <row r="249" ht="14.25" customHeight="1">
      <c r="U249" s="79"/>
    </row>
    <row r="250" ht="14.25" customHeight="1">
      <c r="U250" s="79"/>
    </row>
    <row r="251" ht="14.25" customHeight="1">
      <c r="U251" s="79"/>
    </row>
    <row r="252" ht="14.25" customHeight="1">
      <c r="U252" s="79"/>
    </row>
    <row r="253" ht="14.25" customHeight="1">
      <c r="U253" s="79"/>
    </row>
    <row r="254" ht="14.25" customHeight="1">
      <c r="U254" s="79"/>
    </row>
    <row r="255" ht="14.25" customHeight="1">
      <c r="U255" s="79"/>
    </row>
    <row r="256" ht="14.25" customHeight="1">
      <c r="U256" s="79"/>
    </row>
    <row r="257" ht="14.25" customHeight="1">
      <c r="U257" s="79"/>
    </row>
    <row r="258" ht="14.25" customHeight="1">
      <c r="U258" s="79"/>
    </row>
    <row r="259" ht="14.25" customHeight="1">
      <c r="U259" s="79"/>
    </row>
    <row r="260" ht="14.25" customHeight="1">
      <c r="U260" s="79"/>
    </row>
    <row r="261" ht="14.25" customHeight="1">
      <c r="U261" s="79"/>
    </row>
    <row r="262" ht="14.25" customHeight="1">
      <c r="U262" s="79"/>
    </row>
    <row r="263" ht="14.25" customHeight="1">
      <c r="U263" s="79"/>
    </row>
    <row r="264" ht="14.25" customHeight="1">
      <c r="U264" s="79"/>
    </row>
    <row r="265" ht="14.25" customHeight="1">
      <c r="U265" s="79"/>
    </row>
    <row r="266" ht="14.25" customHeight="1">
      <c r="U266" s="79"/>
    </row>
    <row r="267" ht="14.25" customHeight="1">
      <c r="U267" s="79"/>
    </row>
    <row r="268" ht="14.25" customHeight="1">
      <c r="U268" s="79"/>
    </row>
    <row r="269" ht="14.25" customHeight="1">
      <c r="U269" s="79"/>
    </row>
    <row r="270" ht="14.25" customHeight="1">
      <c r="U270" s="79"/>
    </row>
    <row r="271" ht="14.25" customHeight="1">
      <c r="U271" s="79"/>
    </row>
    <row r="272" ht="14.25" customHeight="1">
      <c r="U272" s="79"/>
    </row>
    <row r="273" ht="14.25" customHeight="1">
      <c r="U273" s="79"/>
    </row>
    <row r="274" ht="14.25" customHeight="1">
      <c r="U274" s="79"/>
    </row>
    <row r="275" ht="14.25" customHeight="1">
      <c r="U275" s="79"/>
    </row>
    <row r="276" ht="14.25" customHeight="1">
      <c r="U276" s="79"/>
    </row>
    <row r="277" ht="14.25" customHeight="1">
      <c r="U277" s="79"/>
    </row>
    <row r="278" ht="14.25" customHeight="1">
      <c r="U278" s="79"/>
    </row>
    <row r="279" ht="14.25" customHeight="1">
      <c r="U279" s="79"/>
    </row>
    <row r="280" ht="14.25" customHeight="1">
      <c r="U280" s="79"/>
    </row>
    <row r="281" ht="14.25" customHeight="1">
      <c r="U281" s="79"/>
    </row>
    <row r="282" ht="14.25" customHeight="1">
      <c r="U282" s="79"/>
    </row>
    <row r="283" ht="14.25" customHeight="1">
      <c r="U283" s="79"/>
    </row>
    <row r="284" ht="14.25" customHeight="1">
      <c r="U284" s="79"/>
    </row>
    <row r="285" ht="14.25" customHeight="1">
      <c r="U285" s="79"/>
    </row>
    <row r="286" ht="14.25" customHeight="1">
      <c r="U286" s="79"/>
    </row>
    <row r="287" ht="14.25" customHeight="1">
      <c r="U287" s="79"/>
    </row>
    <row r="288" ht="14.25" customHeight="1">
      <c r="U288" s="79"/>
    </row>
    <row r="289" ht="14.25" customHeight="1">
      <c r="U289" s="79"/>
    </row>
    <row r="290" ht="14.25" customHeight="1">
      <c r="U290" s="79"/>
    </row>
    <row r="291" ht="14.25" customHeight="1">
      <c r="U291" s="79"/>
    </row>
    <row r="292" ht="14.25" customHeight="1">
      <c r="U292" s="79"/>
    </row>
    <row r="293" ht="14.25" customHeight="1">
      <c r="U293" s="79"/>
    </row>
    <row r="294" ht="14.25" customHeight="1">
      <c r="U294" s="79"/>
    </row>
    <row r="295" ht="14.25" customHeight="1">
      <c r="U295" s="79"/>
    </row>
    <row r="296" ht="14.25" customHeight="1">
      <c r="U296" s="79"/>
    </row>
    <row r="297" ht="14.25" customHeight="1">
      <c r="U297" s="79"/>
    </row>
    <row r="298" ht="14.25" customHeight="1">
      <c r="U298" s="79"/>
    </row>
    <row r="299" ht="14.25" customHeight="1">
      <c r="U299" s="79"/>
    </row>
    <row r="300" ht="14.25" customHeight="1">
      <c r="U300" s="79"/>
    </row>
    <row r="301" ht="14.25" customHeight="1">
      <c r="U301" s="79"/>
    </row>
    <row r="302" ht="14.25" customHeight="1">
      <c r="U302" s="79"/>
    </row>
    <row r="303" ht="14.25" customHeight="1">
      <c r="U303" s="79"/>
    </row>
    <row r="304" ht="14.25" customHeight="1">
      <c r="U304" s="79"/>
    </row>
    <row r="305" ht="14.25" customHeight="1">
      <c r="U305" s="79"/>
    </row>
    <row r="306" ht="14.25" customHeight="1">
      <c r="U306" s="79"/>
    </row>
    <row r="307" ht="14.25" customHeight="1">
      <c r="U307" s="79"/>
    </row>
    <row r="308" ht="14.25" customHeight="1">
      <c r="U308" s="79"/>
    </row>
    <row r="309" ht="14.25" customHeight="1">
      <c r="U309" s="79"/>
    </row>
    <row r="310" ht="14.25" customHeight="1">
      <c r="U310" s="79"/>
    </row>
    <row r="311" ht="14.25" customHeight="1">
      <c r="U311" s="79"/>
    </row>
    <row r="312" ht="14.25" customHeight="1">
      <c r="U312" s="79"/>
    </row>
    <row r="313" ht="14.25" customHeight="1">
      <c r="U313" s="79"/>
    </row>
    <row r="314" ht="14.25" customHeight="1">
      <c r="U314" s="79"/>
    </row>
    <row r="315" ht="14.25" customHeight="1">
      <c r="U315" s="79"/>
    </row>
    <row r="316" ht="14.25" customHeight="1">
      <c r="U316" s="79"/>
    </row>
    <row r="317" ht="14.25" customHeight="1">
      <c r="U317" s="79"/>
    </row>
    <row r="318" ht="14.25" customHeight="1">
      <c r="U318" s="79"/>
    </row>
    <row r="319" ht="14.25" customHeight="1">
      <c r="U319" s="79"/>
    </row>
    <row r="320" ht="14.25" customHeight="1">
      <c r="U320" s="79"/>
    </row>
    <row r="321" ht="14.25" customHeight="1">
      <c r="U321" s="79"/>
    </row>
    <row r="322" ht="14.25" customHeight="1">
      <c r="U322" s="79"/>
    </row>
    <row r="323" ht="14.25" customHeight="1">
      <c r="U323" s="79"/>
    </row>
    <row r="324" ht="14.25" customHeight="1">
      <c r="U324" s="79"/>
    </row>
    <row r="325" ht="14.25" customHeight="1">
      <c r="U325" s="79"/>
    </row>
    <row r="326" ht="14.25" customHeight="1">
      <c r="U326" s="79"/>
    </row>
    <row r="327" ht="14.25" customHeight="1">
      <c r="U327" s="79"/>
    </row>
    <row r="328" ht="14.25" customHeight="1">
      <c r="U328" s="79"/>
    </row>
    <row r="329" ht="14.25" customHeight="1">
      <c r="U329" s="79"/>
    </row>
    <row r="330" ht="14.25" customHeight="1">
      <c r="U330" s="79"/>
    </row>
    <row r="331" ht="14.25" customHeight="1">
      <c r="U331" s="79"/>
    </row>
    <row r="332" ht="14.25" customHeight="1">
      <c r="U332" s="79"/>
    </row>
    <row r="333" ht="14.25" customHeight="1">
      <c r="U333" s="79"/>
    </row>
    <row r="334" ht="14.25" customHeight="1">
      <c r="U334" s="79"/>
    </row>
    <row r="335" ht="14.25" customHeight="1">
      <c r="U335" s="79"/>
    </row>
    <row r="336" ht="14.25" customHeight="1">
      <c r="U336" s="79"/>
    </row>
    <row r="337" ht="14.25" customHeight="1">
      <c r="U337" s="79"/>
    </row>
    <row r="338" ht="14.25" customHeight="1">
      <c r="U338" s="79"/>
    </row>
    <row r="339" ht="14.25" customHeight="1">
      <c r="U339" s="79"/>
    </row>
    <row r="340" ht="14.25" customHeight="1">
      <c r="U340" s="79"/>
    </row>
    <row r="341" ht="14.25" customHeight="1">
      <c r="U341" s="79"/>
    </row>
    <row r="342" ht="14.25" customHeight="1">
      <c r="U342" s="79"/>
    </row>
    <row r="343" ht="14.25" customHeight="1">
      <c r="U343" s="79"/>
    </row>
    <row r="344" ht="14.25" customHeight="1">
      <c r="U344" s="79"/>
    </row>
    <row r="345" ht="14.25" customHeight="1">
      <c r="U345" s="79"/>
    </row>
    <row r="346" ht="14.25" customHeight="1">
      <c r="U346" s="79"/>
    </row>
    <row r="347" ht="14.25" customHeight="1">
      <c r="U347" s="79"/>
    </row>
    <row r="348" ht="14.25" customHeight="1">
      <c r="U348" s="79"/>
    </row>
    <row r="349" ht="14.25" customHeight="1">
      <c r="U349" s="79"/>
    </row>
    <row r="350" ht="14.25" customHeight="1">
      <c r="U350" s="79"/>
    </row>
    <row r="351" ht="14.25" customHeight="1">
      <c r="U351" s="79"/>
    </row>
    <row r="352" ht="14.25" customHeight="1">
      <c r="U352" s="79"/>
    </row>
    <row r="353" ht="14.25" customHeight="1">
      <c r="U353" s="79"/>
    </row>
    <row r="354" ht="14.25" customHeight="1">
      <c r="U354" s="79"/>
    </row>
    <row r="355" ht="14.25" customHeight="1">
      <c r="U355" s="79"/>
    </row>
    <row r="356" ht="14.25" customHeight="1">
      <c r="U356" s="79"/>
    </row>
    <row r="357" ht="14.25" customHeight="1">
      <c r="U357" s="79"/>
    </row>
    <row r="358" ht="14.25" customHeight="1">
      <c r="U358" s="79"/>
    </row>
    <row r="359" ht="14.25" customHeight="1">
      <c r="U359" s="79"/>
    </row>
    <row r="360" ht="14.25" customHeight="1">
      <c r="U360" s="79"/>
    </row>
    <row r="361" ht="14.25" customHeight="1">
      <c r="U361" s="79"/>
    </row>
    <row r="362" ht="14.25" customHeight="1">
      <c r="U362" s="79"/>
    </row>
    <row r="363" ht="14.25" customHeight="1">
      <c r="U363" s="79"/>
    </row>
    <row r="364" ht="14.25" customHeight="1">
      <c r="U364" s="79"/>
    </row>
    <row r="365" ht="14.25" customHeight="1">
      <c r="U365" s="79"/>
    </row>
    <row r="366" ht="14.25" customHeight="1">
      <c r="U366" s="79"/>
    </row>
    <row r="367" ht="14.25" customHeight="1">
      <c r="U367" s="79"/>
    </row>
    <row r="368" ht="14.25" customHeight="1">
      <c r="U368" s="79"/>
    </row>
    <row r="369" ht="14.25" customHeight="1">
      <c r="U369" s="79"/>
    </row>
    <row r="370" ht="14.25" customHeight="1">
      <c r="U370" s="79"/>
    </row>
    <row r="371" ht="14.25" customHeight="1">
      <c r="U371" s="79"/>
    </row>
    <row r="372" ht="14.25" customHeight="1">
      <c r="U372" s="79"/>
    </row>
    <row r="373" ht="14.25" customHeight="1">
      <c r="U373" s="79"/>
    </row>
    <row r="374" ht="14.25" customHeight="1">
      <c r="U374" s="79"/>
    </row>
    <row r="375" ht="14.25" customHeight="1">
      <c r="U375" s="79"/>
    </row>
    <row r="376" ht="14.25" customHeight="1">
      <c r="U376" s="79"/>
    </row>
    <row r="377" ht="14.25" customHeight="1">
      <c r="U377" s="79"/>
    </row>
    <row r="378" ht="14.25" customHeight="1">
      <c r="U378" s="79"/>
    </row>
    <row r="379" ht="14.25" customHeight="1">
      <c r="U379" s="79"/>
    </row>
    <row r="380" ht="14.25" customHeight="1">
      <c r="U380" s="79"/>
    </row>
    <row r="381" ht="14.25" customHeight="1">
      <c r="U381" s="79"/>
    </row>
    <row r="382" ht="14.25" customHeight="1">
      <c r="U382" s="79"/>
    </row>
    <row r="383" ht="14.25" customHeight="1">
      <c r="U383" s="79"/>
    </row>
    <row r="384" ht="14.25" customHeight="1">
      <c r="U384" s="79"/>
    </row>
    <row r="385" ht="14.25" customHeight="1">
      <c r="U385" s="79"/>
    </row>
    <row r="386" ht="14.25" customHeight="1">
      <c r="U386" s="79"/>
    </row>
    <row r="387" ht="14.25" customHeight="1">
      <c r="U387" s="79"/>
    </row>
    <row r="388" ht="14.25" customHeight="1">
      <c r="U388" s="79"/>
    </row>
    <row r="389" ht="14.25" customHeight="1">
      <c r="U389" s="79"/>
    </row>
    <row r="390" ht="14.25" customHeight="1">
      <c r="U390" s="79"/>
    </row>
    <row r="391" ht="14.25" customHeight="1">
      <c r="U391" s="79"/>
    </row>
    <row r="392" ht="14.25" customHeight="1">
      <c r="U392" s="79"/>
    </row>
    <row r="393" ht="14.25" customHeight="1">
      <c r="U393" s="79"/>
    </row>
    <row r="394" ht="14.25" customHeight="1">
      <c r="U394" s="79"/>
    </row>
    <row r="395" ht="14.25" customHeight="1">
      <c r="U395" s="79"/>
    </row>
    <row r="396" ht="14.25" customHeight="1">
      <c r="U396" s="79"/>
    </row>
    <row r="397" ht="14.25" customHeight="1">
      <c r="U397" s="79"/>
    </row>
    <row r="398" ht="14.25" customHeight="1">
      <c r="U398" s="79"/>
    </row>
    <row r="399" ht="14.25" customHeight="1">
      <c r="U399" s="79"/>
    </row>
    <row r="400" ht="14.25" customHeight="1">
      <c r="U400" s="79"/>
    </row>
    <row r="401" ht="14.25" customHeight="1">
      <c r="U401" s="79"/>
    </row>
    <row r="402" ht="14.25" customHeight="1">
      <c r="U402" s="79"/>
    </row>
    <row r="403" ht="14.25" customHeight="1">
      <c r="U403" s="79"/>
    </row>
    <row r="404" ht="14.25" customHeight="1">
      <c r="U404" s="79"/>
    </row>
    <row r="405" ht="14.25" customHeight="1">
      <c r="U405" s="79"/>
    </row>
    <row r="406" ht="14.25" customHeight="1">
      <c r="U406" s="79"/>
    </row>
    <row r="407" ht="14.25" customHeight="1">
      <c r="U407" s="79"/>
    </row>
    <row r="408" ht="14.25" customHeight="1">
      <c r="U408" s="79"/>
    </row>
    <row r="409" ht="14.25" customHeight="1">
      <c r="U409" s="79"/>
    </row>
    <row r="410" ht="14.25" customHeight="1">
      <c r="U410" s="79"/>
    </row>
    <row r="411" ht="14.25" customHeight="1">
      <c r="U411" s="79"/>
    </row>
    <row r="412" ht="14.25" customHeight="1">
      <c r="U412" s="79"/>
    </row>
    <row r="413" ht="14.25" customHeight="1">
      <c r="U413" s="79"/>
    </row>
    <row r="414" ht="14.25" customHeight="1">
      <c r="U414" s="79"/>
    </row>
    <row r="415" ht="14.25" customHeight="1">
      <c r="U415" s="79"/>
    </row>
    <row r="416" ht="14.25" customHeight="1">
      <c r="U416" s="79"/>
    </row>
    <row r="417" ht="14.25" customHeight="1">
      <c r="U417" s="79"/>
    </row>
    <row r="418" ht="14.25" customHeight="1">
      <c r="U418" s="79"/>
    </row>
    <row r="419" ht="14.25" customHeight="1">
      <c r="U419" s="79"/>
    </row>
    <row r="420" ht="14.25" customHeight="1">
      <c r="U420" s="79"/>
    </row>
    <row r="421" ht="14.25" customHeight="1">
      <c r="U421" s="79"/>
    </row>
    <row r="422" ht="14.25" customHeight="1">
      <c r="U422" s="79"/>
    </row>
    <row r="423" ht="14.25" customHeight="1">
      <c r="U423" s="79"/>
    </row>
    <row r="424" ht="14.25" customHeight="1">
      <c r="U424" s="79"/>
    </row>
    <row r="425" ht="14.25" customHeight="1">
      <c r="U425" s="79"/>
    </row>
    <row r="426" ht="14.25" customHeight="1">
      <c r="U426" s="79"/>
    </row>
    <row r="427" ht="14.25" customHeight="1">
      <c r="U427" s="79"/>
    </row>
    <row r="428" ht="14.25" customHeight="1">
      <c r="U428" s="79"/>
    </row>
    <row r="429" ht="14.25" customHeight="1">
      <c r="U429" s="79"/>
    </row>
    <row r="430" ht="14.25" customHeight="1">
      <c r="U430" s="79"/>
    </row>
    <row r="431" ht="14.25" customHeight="1">
      <c r="U431" s="79"/>
    </row>
    <row r="432" ht="14.25" customHeight="1">
      <c r="U432" s="79"/>
    </row>
    <row r="433" ht="14.25" customHeight="1">
      <c r="U433" s="79"/>
    </row>
    <row r="434" ht="14.25" customHeight="1">
      <c r="U434" s="79"/>
    </row>
    <row r="435" ht="14.25" customHeight="1">
      <c r="U435" s="79"/>
    </row>
    <row r="436" ht="14.25" customHeight="1">
      <c r="U436" s="79"/>
    </row>
    <row r="437" ht="14.25" customHeight="1">
      <c r="U437" s="79"/>
    </row>
    <row r="438" ht="14.25" customHeight="1">
      <c r="U438" s="79"/>
    </row>
    <row r="439" ht="14.25" customHeight="1">
      <c r="U439" s="79"/>
    </row>
    <row r="440" ht="14.25" customHeight="1">
      <c r="U440" s="79"/>
    </row>
    <row r="441" ht="14.25" customHeight="1">
      <c r="U441" s="79"/>
    </row>
    <row r="442" ht="14.25" customHeight="1">
      <c r="U442" s="79"/>
    </row>
    <row r="443" ht="14.25" customHeight="1">
      <c r="U443" s="79"/>
    </row>
    <row r="444" ht="14.25" customHeight="1">
      <c r="U444" s="79"/>
    </row>
    <row r="445" ht="14.25" customHeight="1">
      <c r="U445" s="79"/>
    </row>
    <row r="446" ht="14.25" customHeight="1">
      <c r="U446" s="79"/>
    </row>
    <row r="447" ht="14.25" customHeight="1">
      <c r="U447" s="79"/>
    </row>
    <row r="448" ht="14.25" customHeight="1">
      <c r="U448" s="79"/>
    </row>
    <row r="449" ht="14.25" customHeight="1">
      <c r="U449" s="79"/>
    </row>
    <row r="450" ht="14.25" customHeight="1">
      <c r="U450" s="79"/>
    </row>
    <row r="451" ht="14.25" customHeight="1">
      <c r="U451" s="79"/>
    </row>
    <row r="452" ht="14.25" customHeight="1">
      <c r="U452" s="79"/>
    </row>
    <row r="453" ht="14.25" customHeight="1">
      <c r="U453" s="79"/>
    </row>
    <row r="454" ht="14.25" customHeight="1">
      <c r="U454" s="79"/>
    </row>
    <row r="455" ht="14.25" customHeight="1">
      <c r="U455" s="79"/>
    </row>
    <row r="456" ht="14.25" customHeight="1">
      <c r="U456" s="79"/>
    </row>
    <row r="457" ht="14.25" customHeight="1">
      <c r="U457" s="79"/>
    </row>
    <row r="458" ht="14.25" customHeight="1">
      <c r="U458" s="79"/>
    </row>
    <row r="459" ht="14.25" customHeight="1">
      <c r="U459" s="79"/>
    </row>
    <row r="460" ht="14.25" customHeight="1">
      <c r="U460" s="79"/>
    </row>
    <row r="461" ht="14.25" customHeight="1">
      <c r="U461" s="79"/>
    </row>
    <row r="462" ht="14.25" customHeight="1">
      <c r="U462" s="79"/>
    </row>
    <row r="463" ht="14.25" customHeight="1">
      <c r="U463" s="79"/>
    </row>
    <row r="464" ht="14.25" customHeight="1">
      <c r="U464" s="79"/>
    </row>
    <row r="465" ht="14.25" customHeight="1">
      <c r="U465" s="79"/>
    </row>
    <row r="466" ht="14.25" customHeight="1">
      <c r="U466" s="79"/>
    </row>
    <row r="467" ht="14.25" customHeight="1">
      <c r="U467" s="79"/>
    </row>
    <row r="468" ht="14.25" customHeight="1">
      <c r="U468" s="79"/>
    </row>
    <row r="469" ht="14.25" customHeight="1">
      <c r="U469" s="79"/>
    </row>
    <row r="470" ht="14.25" customHeight="1">
      <c r="U470" s="79"/>
    </row>
    <row r="471" ht="14.25" customHeight="1">
      <c r="U471" s="79"/>
    </row>
    <row r="472" ht="14.25" customHeight="1">
      <c r="U472" s="79"/>
    </row>
    <row r="473" ht="14.25" customHeight="1">
      <c r="U473" s="79"/>
    </row>
    <row r="474" ht="14.25" customHeight="1">
      <c r="U474" s="79"/>
    </row>
    <row r="475" ht="14.25" customHeight="1">
      <c r="U475" s="79"/>
    </row>
    <row r="476" ht="14.25" customHeight="1">
      <c r="U476" s="79"/>
    </row>
    <row r="477" ht="14.25" customHeight="1">
      <c r="U477" s="79"/>
    </row>
    <row r="478" ht="14.25" customHeight="1">
      <c r="U478" s="79"/>
    </row>
    <row r="479" ht="14.25" customHeight="1">
      <c r="U479" s="79"/>
    </row>
    <row r="480" ht="14.25" customHeight="1">
      <c r="U480" s="79"/>
    </row>
    <row r="481" ht="14.25" customHeight="1">
      <c r="U481" s="79"/>
    </row>
    <row r="482" ht="14.25" customHeight="1">
      <c r="U482" s="79"/>
    </row>
    <row r="483" ht="14.25" customHeight="1">
      <c r="U483" s="79"/>
    </row>
    <row r="484" ht="14.25" customHeight="1">
      <c r="U484" s="79"/>
    </row>
    <row r="485" ht="14.25" customHeight="1">
      <c r="U485" s="79"/>
    </row>
    <row r="486" ht="14.25" customHeight="1">
      <c r="U486" s="79"/>
    </row>
    <row r="487" ht="14.25" customHeight="1">
      <c r="U487" s="79"/>
    </row>
    <row r="488" ht="14.25" customHeight="1">
      <c r="U488" s="79"/>
    </row>
    <row r="489" ht="14.25" customHeight="1">
      <c r="U489" s="79"/>
    </row>
    <row r="490" ht="14.25" customHeight="1">
      <c r="U490" s="79"/>
    </row>
    <row r="491" ht="14.25" customHeight="1">
      <c r="U491" s="79"/>
    </row>
    <row r="492" ht="14.25" customHeight="1">
      <c r="U492" s="79"/>
    </row>
    <row r="493" ht="14.25" customHeight="1">
      <c r="U493" s="79"/>
    </row>
    <row r="494" ht="14.25" customHeight="1">
      <c r="U494" s="79"/>
    </row>
    <row r="495" ht="14.25" customHeight="1">
      <c r="U495" s="79"/>
    </row>
    <row r="496" ht="14.25" customHeight="1">
      <c r="U496" s="79"/>
    </row>
    <row r="497" ht="14.25" customHeight="1">
      <c r="U497" s="79"/>
    </row>
    <row r="498" ht="14.25" customHeight="1">
      <c r="U498" s="79"/>
    </row>
    <row r="499" ht="14.25" customHeight="1">
      <c r="U499" s="79"/>
    </row>
    <row r="500" ht="14.25" customHeight="1">
      <c r="U500" s="79"/>
    </row>
    <row r="501" ht="14.25" customHeight="1">
      <c r="U501" s="79"/>
    </row>
    <row r="502" ht="14.25" customHeight="1">
      <c r="U502" s="79"/>
    </row>
    <row r="503" ht="14.25" customHeight="1">
      <c r="U503" s="79"/>
    </row>
    <row r="504" ht="14.25" customHeight="1">
      <c r="U504" s="79"/>
    </row>
    <row r="505" ht="14.25" customHeight="1">
      <c r="U505" s="79"/>
    </row>
    <row r="506" ht="14.25" customHeight="1">
      <c r="U506" s="79"/>
    </row>
    <row r="507" ht="14.25" customHeight="1">
      <c r="U507" s="79"/>
    </row>
    <row r="508" ht="14.25" customHeight="1">
      <c r="U508" s="79"/>
    </row>
    <row r="509" ht="14.25" customHeight="1">
      <c r="U509" s="79"/>
    </row>
    <row r="510" ht="14.25" customHeight="1">
      <c r="U510" s="79"/>
    </row>
    <row r="511" ht="14.25" customHeight="1">
      <c r="U511" s="79"/>
    </row>
    <row r="512" ht="14.25" customHeight="1">
      <c r="U512" s="79"/>
    </row>
    <row r="513" ht="14.25" customHeight="1">
      <c r="U513" s="79"/>
    </row>
    <row r="514" ht="14.25" customHeight="1">
      <c r="U514" s="79"/>
    </row>
    <row r="515" ht="14.25" customHeight="1">
      <c r="U515" s="79"/>
    </row>
    <row r="516" ht="14.25" customHeight="1">
      <c r="U516" s="79"/>
    </row>
    <row r="517" ht="14.25" customHeight="1">
      <c r="U517" s="79"/>
    </row>
    <row r="518" ht="14.25" customHeight="1">
      <c r="U518" s="79"/>
    </row>
    <row r="519" ht="14.25" customHeight="1">
      <c r="U519" s="79"/>
    </row>
    <row r="520" ht="14.25" customHeight="1">
      <c r="U520" s="79"/>
    </row>
    <row r="521" ht="14.25" customHeight="1">
      <c r="U521" s="79"/>
    </row>
    <row r="522" ht="14.25" customHeight="1">
      <c r="U522" s="79"/>
    </row>
    <row r="523" ht="14.25" customHeight="1">
      <c r="U523" s="79"/>
    </row>
    <row r="524" ht="14.25" customHeight="1">
      <c r="U524" s="79"/>
    </row>
    <row r="525" ht="14.25" customHeight="1">
      <c r="U525" s="79"/>
    </row>
    <row r="526" ht="14.25" customHeight="1">
      <c r="U526" s="79"/>
    </row>
    <row r="527" ht="14.25" customHeight="1">
      <c r="U527" s="79"/>
    </row>
    <row r="528" ht="14.25" customHeight="1">
      <c r="U528" s="79"/>
    </row>
    <row r="529" ht="14.25" customHeight="1">
      <c r="U529" s="79"/>
    </row>
    <row r="530" ht="14.25" customHeight="1">
      <c r="U530" s="79"/>
    </row>
    <row r="531" ht="14.25" customHeight="1">
      <c r="U531" s="79"/>
    </row>
    <row r="532" ht="14.25" customHeight="1">
      <c r="U532" s="79"/>
    </row>
    <row r="533" ht="14.25" customHeight="1">
      <c r="U533" s="79"/>
    </row>
    <row r="534" ht="14.25" customHeight="1">
      <c r="U534" s="79"/>
    </row>
    <row r="535" ht="14.25" customHeight="1">
      <c r="U535" s="79"/>
    </row>
    <row r="536" ht="14.25" customHeight="1">
      <c r="U536" s="79"/>
    </row>
    <row r="537" ht="14.25" customHeight="1">
      <c r="U537" s="79"/>
    </row>
    <row r="538" ht="14.25" customHeight="1">
      <c r="U538" s="79"/>
    </row>
    <row r="539" ht="14.25" customHeight="1">
      <c r="U539" s="79"/>
    </row>
    <row r="540" ht="14.25" customHeight="1">
      <c r="U540" s="79"/>
    </row>
    <row r="541" ht="14.25" customHeight="1">
      <c r="U541" s="79"/>
    </row>
    <row r="542" ht="14.25" customHeight="1">
      <c r="U542" s="79"/>
    </row>
    <row r="543" ht="14.25" customHeight="1">
      <c r="U543" s="79"/>
    </row>
    <row r="544" ht="14.25" customHeight="1">
      <c r="U544" s="79"/>
    </row>
    <row r="545" ht="14.25" customHeight="1">
      <c r="U545" s="79"/>
    </row>
    <row r="546" ht="14.25" customHeight="1">
      <c r="U546" s="79"/>
    </row>
    <row r="547" ht="14.25" customHeight="1">
      <c r="U547" s="79"/>
    </row>
    <row r="548" ht="14.25" customHeight="1">
      <c r="U548" s="79"/>
    </row>
    <row r="549" ht="14.25" customHeight="1">
      <c r="U549" s="79"/>
    </row>
    <row r="550" ht="14.25" customHeight="1">
      <c r="U550" s="79"/>
    </row>
    <row r="551" ht="14.25" customHeight="1">
      <c r="U551" s="79"/>
    </row>
    <row r="552" ht="14.25" customHeight="1">
      <c r="U552" s="79"/>
    </row>
    <row r="553" ht="14.25" customHeight="1">
      <c r="U553" s="79"/>
    </row>
    <row r="554" ht="14.25" customHeight="1">
      <c r="U554" s="79"/>
    </row>
    <row r="555" ht="14.25" customHeight="1">
      <c r="U555" s="79"/>
    </row>
    <row r="556" ht="14.25" customHeight="1">
      <c r="U556" s="79"/>
    </row>
    <row r="557" ht="14.25" customHeight="1">
      <c r="U557" s="79"/>
    </row>
    <row r="558" ht="14.25" customHeight="1">
      <c r="U558" s="79"/>
    </row>
    <row r="559" ht="14.25" customHeight="1">
      <c r="U559" s="79"/>
    </row>
    <row r="560" ht="14.25" customHeight="1">
      <c r="U560" s="79"/>
    </row>
    <row r="561" ht="14.25" customHeight="1">
      <c r="U561" s="79"/>
    </row>
    <row r="562" ht="14.25" customHeight="1">
      <c r="U562" s="79"/>
    </row>
    <row r="563" ht="14.25" customHeight="1">
      <c r="U563" s="79"/>
    </row>
    <row r="564" ht="14.25" customHeight="1">
      <c r="U564" s="79"/>
    </row>
    <row r="565" ht="14.25" customHeight="1">
      <c r="U565" s="79"/>
    </row>
    <row r="566" ht="14.25" customHeight="1">
      <c r="U566" s="79"/>
    </row>
    <row r="567" ht="14.25" customHeight="1">
      <c r="U567" s="79"/>
    </row>
    <row r="568" ht="14.25" customHeight="1">
      <c r="U568" s="79"/>
    </row>
    <row r="569" ht="14.25" customHeight="1">
      <c r="U569" s="79"/>
    </row>
    <row r="570" ht="14.25" customHeight="1">
      <c r="U570" s="79"/>
    </row>
    <row r="571" ht="14.25" customHeight="1">
      <c r="U571" s="79"/>
    </row>
    <row r="572" ht="14.25" customHeight="1">
      <c r="U572" s="79"/>
    </row>
    <row r="573" ht="14.25" customHeight="1">
      <c r="U573" s="79"/>
    </row>
    <row r="574" ht="14.25" customHeight="1">
      <c r="U574" s="79"/>
    </row>
    <row r="575" ht="14.25" customHeight="1">
      <c r="U575" s="79"/>
    </row>
    <row r="576" ht="14.25" customHeight="1">
      <c r="U576" s="79"/>
    </row>
    <row r="577" ht="14.25" customHeight="1">
      <c r="U577" s="79"/>
    </row>
    <row r="578" ht="14.25" customHeight="1">
      <c r="U578" s="79"/>
    </row>
    <row r="579" ht="14.25" customHeight="1">
      <c r="U579" s="79"/>
    </row>
    <row r="580" ht="14.25" customHeight="1">
      <c r="U580" s="79"/>
    </row>
    <row r="581" ht="14.25" customHeight="1">
      <c r="U581" s="79"/>
    </row>
    <row r="582" ht="14.25" customHeight="1">
      <c r="U582" s="79"/>
    </row>
    <row r="583" ht="14.25" customHeight="1">
      <c r="U583" s="79"/>
    </row>
    <row r="584" ht="14.25" customHeight="1">
      <c r="U584" s="79"/>
    </row>
    <row r="585" ht="14.25" customHeight="1">
      <c r="U585" s="79"/>
    </row>
    <row r="586" ht="14.25" customHeight="1">
      <c r="U586" s="79"/>
    </row>
    <row r="587" ht="14.25" customHeight="1">
      <c r="U587" s="79"/>
    </row>
    <row r="588" ht="14.25" customHeight="1">
      <c r="U588" s="79"/>
    </row>
    <row r="589" ht="14.25" customHeight="1">
      <c r="U589" s="79"/>
    </row>
    <row r="590" ht="14.25" customHeight="1">
      <c r="U590" s="79"/>
    </row>
    <row r="591" ht="14.25" customHeight="1">
      <c r="U591" s="79"/>
    </row>
    <row r="592" ht="14.25" customHeight="1">
      <c r="U592" s="79"/>
    </row>
    <row r="593" ht="14.25" customHeight="1">
      <c r="U593" s="79"/>
    </row>
    <row r="594" ht="14.25" customHeight="1">
      <c r="U594" s="79"/>
    </row>
    <row r="595" ht="14.25" customHeight="1">
      <c r="U595" s="79"/>
    </row>
    <row r="596" ht="14.25" customHeight="1">
      <c r="U596" s="79"/>
    </row>
    <row r="597" ht="14.25" customHeight="1">
      <c r="U597" s="79"/>
    </row>
    <row r="598" ht="14.25" customHeight="1">
      <c r="U598" s="79"/>
    </row>
    <row r="599" ht="14.25" customHeight="1">
      <c r="U599" s="79"/>
    </row>
    <row r="600" ht="14.25" customHeight="1">
      <c r="U600" s="79"/>
    </row>
    <row r="601" ht="14.25" customHeight="1">
      <c r="U601" s="79"/>
    </row>
    <row r="602" ht="14.25" customHeight="1">
      <c r="U602" s="79"/>
    </row>
    <row r="603" ht="14.25" customHeight="1">
      <c r="U603" s="79"/>
    </row>
    <row r="604" ht="14.25" customHeight="1">
      <c r="U604" s="79"/>
    </row>
    <row r="605" ht="14.25" customHeight="1">
      <c r="U605" s="79"/>
    </row>
    <row r="606" ht="14.25" customHeight="1">
      <c r="U606" s="79"/>
    </row>
    <row r="607" ht="14.25" customHeight="1">
      <c r="U607" s="79"/>
    </row>
    <row r="608" ht="14.25" customHeight="1">
      <c r="U608" s="79"/>
    </row>
    <row r="609" ht="14.25" customHeight="1">
      <c r="U609" s="79"/>
    </row>
    <row r="610" ht="14.25" customHeight="1">
      <c r="U610" s="79"/>
    </row>
    <row r="611" ht="14.25" customHeight="1">
      <c r="U611" s="79"/>
    </row>
    <row r="612" ht="14.25" customHeight="1">
      <c r="U612" s="79"/>
    </row>
    <row r="613" ht="14.25" customHeight="1">
      <c r="U613" s="79"/>
    </row>
    <row r="614" ht="14.25" customHeight="1">
      <c r="U614" s="79"/>
    </row>
    <row r="615" ht="14.25" customHeight="1">
      <c r="U615" s="79"/>
    </row>
    <row r="616" ht="14.25" customHeight="1">
      <c r="U616" s="79"/>
    </row>
    <row r="617" ht="14.25" customHeight="1">
      <c r="U617" s="79"/>
    </row>
    <row r="618" ht="14.25" customHeight="1">
      <c r="U618" s="79"/>
    </row>
    <row r="619" ht="14.25" customHeight="1">
      <c r="U619" s="79"/>
    </row>
    <row r="620" ht="14.25" customHeight="1">
      <c r="U620" s="79"/>
    </row>
    <row r="621" ht="14.25" customHeight="1">
      <c r="U621" s="79"/>
    </row>
    <row r="622" ht="14.25" customHeight="1">
      <c r="U622" s="79"/>
    </row>
    <row r="623" ht="14.25" customHeight="1">
      <c r="U623" s="79"/>
    </row>
    <row r="624" ht="14.25" customHeight="1">
      <c r="U624" s="79"/>
    </row>
    <row r="625" ht="14.25" customHeight="1">
      <c r="U625" s="79"/>
    </row>
    <row r="626" ht="14.25" customHeight="1">
      <c r="U626" s="79"/>
    </row>
    <row r="627" ht="14.25" customHeight="1">
      <c r="U627" s="79"/>
    </row>
    <row r="628" ht="14.25" customHeight="1">
      <c r="U628" s="79"/>
    </row>
    <row r="629" ht="14.25" customHeight="1">
      <c r="U629" s="79"/>
    </row>
    <row r="630" ht="14.25" customHeight="1">
      <c r="U630" s="79"/>
    </row>
    <row r="631" ht="14.25" customHeight="1">
      <c r="U631" s="79"/>
    </row>
    <row r="632" ht="14.25" customHeight="1">
      <c r="U632" s="79"/>
    </row>
    <row r="633" ht="14.25" customHeight="1">
      <c r="U633" s="79"/>
    </row>
    <row r="634" ht="14.25" customHeight="1">
      <c r="U634" s="79"/>
    </row>
    <row r="635" ht="14.25" customHeight="1">
      <c r="U635" s="79"/>
    </row>
    <row r="636" ht="14.25" customHeight="1">
      <c r="U636" s="79"/>
    </row>
    <row r="637" ht="14.25" customHeight="1">
      <c r="U637" s="79"/>
    </row>
    <row r="638" ht="14.25" customHeight="1">
      <c r="U638" s="79"/>
    </row>
    <row r="639" ht="14.25" customHeight="1">
      <c r="U639" s="79"/>
    </row>
    <row r="640" ht="14.25" customHeight="1">
      <c r="U640" s="79"/>
    </row>
    <row r="641" ht="14.25" customHeight="1">
      <c r="U641" s="79"/>
    </row>
    <row r="642" ht="14.25" customHeight="1">
      <c r="U642" s="79"/>
    </row>
    <row r="643" ht="14.25" customHeight="1">
      <c r="U643" s="79"/>
    </row>
    <row r="644" ht="14.25" customHeight="1">
      <c r="U644" s="79"/>
    </row>
    <row r="645" ht="14.25" customHeight="1">
      <c r="U645" s="79"/>
    </row>
    <row r="646" ht="14.25" customHeight="1">
      <c r="U646" s="79"/>
    </row>
    <row r="647" ht="14.25" customHeight="1">
      <c r="U647" s="79"/>
    </row>
    <row r="648" ht="14.25" customHeight="1">
      <c r="U648" s="79"/>
    </row>
    <row r="649" ht="14.25" customHeight="1">
      <c r="U649" s="79"/>
    </row>
    <row r="650" ht="14.25" customHeight="1">
      <c r="U650" s="79"/>
    </row>
    <row r="651" ht="14.25" customHeight="1">
      <c r="U651" s="79"/>
    </row>
    <row r="652" ht="14.25" customHeight="1">
      <c r="U652" s="79"/>
    </row>
    <row r="653" ht="14.25" customHeight="1">
      <c r="U653" s="79"/>
    </row>
    <row r="654" ht="14.25" customHeight="1">
      <c r="U654" s="79"/>
    </row>
    <row r="655" ht="14.25" customHeight="1">
      <c r="U655" s="79"/>
    </row>
    <row r="656" ht="14.25" customHeight="1">
      <c r="U656" s="79"/>
    </row>
    <row r="657" ht="14.25" customHeight="1">
      <c r="U657" s="79"/>
    </row>
    <row r="658" ht="14.25" customHeight="1">
      <c r="U658" s="79"/>
    </row>
    <row r="659" ht="14.25" customHeight="1">
      <c r="U659" s="79"/>
    </row>
    <row r="660" ht="14.25" customHeight="1">
      <c r="U660" s="79"/>
    </row>
    <row r="661" ht="14.25" customHeight="1">
      <c r="U661" s="79"/>
    </row>
    <row r="662" ht="14.25" customHeight="1">
      <c r="U662" s="79"/>
    </row>
    <row r="663" ht="14.25" customHeight="1">
      <c r="U663" s="79"/>
    </row>
    <row r="664" ht="14.25" customHeight="1">
      <c r="U664" s="79"/>
    </row>
    <row r="665" ht="14.25" customHeight="1">
      <c r="U665" s="79"/>
    </row>
    <row r="666" ht="14.25" customHeight="1">
      <c r="U666" s="79"/>
    </row>
    <row r="667" ht="14.25" customHeight="1">
      <c r="U667" s="79"/>
    </row>
    <row r="668" ht="14.25" customHeight="1">
      <c r="U668" s="79"/>
    </row>
    <row r="669" ht="14.25" customHeight="1">
      <c r="U669" s="79"/>
    </row>
    <row r="670" ht="14.25" customHeight="1">
      <c r="U670" s="79"/>
    </row>
    <row r="671" ht="14.25" customHeight="1">
      <c r="U671" s="79"/>
    </row>
    <row r="672" ht="14.25" customHeight="1">
      <c r="U672" s="79"/>
    </row>
    <row r="673" ht="14.25" customHeight="1">
      <c r="U673" s="79"/>
    </row>
    <row r="674" ht="14.25" customHeight="1">
      <c r="U674" s="79"/>
    </row>
    <row r="675" ht="14.25" customHeight="1">
      <c r="U675" s="79"/>
    </row>
    <row r="676" ht="14.25" customHeight="1">
      <c r="U676" s="79"/>
    </row>
    <row r="677" ht="14.25" customHeight="1">
      <c r="U677" s="79"/>
    </row>
    <row r="678" ht="14.25" customHeight="1">
      <c r="U678" s="79"/>
    </row>
    <row r="679" ht="14.25" customHeight="1">
      <c r="U679" s="79"/>
    </row>
    <row r="680" ht="14.25" customHeight="1">
      <c r="U680" s="79"/>
    </row>
    <row r="681" ht="14.25" customHeight="1">
      <c r="U681" s="79"/>
    </row>
    <row r="682" ht="14.25" customHeight="1">
      <c r="U682" s="79"/>
    </row>
    <row r="683" ht="14.25" customHeight="1">
      <c r="U683" s="79"/>
    </row>
    <row r="684" ht="14.25" customHeight="1">
      <c r="U684" s="79"/>
    </row>
    <row r="685" ht="14.25" customHeight="1">
      <c r="U685" s="79"/>
    </row>
    <row r="686" ht="14.25" customHeight="1">
      <c r="U686" s="79"/>
    </row>
    <row r="687" ht="14.25" customHeight="1">
      <c r="U687" s="79"/>
    </row>
    <row r="688" ht="14.25" customHeight="1">
      <c r="U688" s="79"/>
    </row>
    <row r="689" ht="14.25" customHeight="1">
      <c r="U689" s="79"/>
    </row>
    <row r="690" ht="14.25" customHeight="1">
      <c r="U690" s="79"/>
    </row>
    <row r="691" ht="14.25" customHeight="1">
      <c r="U691" s="79"/>
    </row>
    <row r="692" ht="14.25" customHeight="1">
      <c r="U692" s="79"/>
    </row>
    <row r="693" ht="14.25" customHeight="1">
      <c r="U693" s="79"/>
    </row>
    <row r="694" ht="14.25" customHeight="1">
      <c r="U694" s="79"/>
    </row>
    <row r="695" ht="14.25" customHeight="1">
      <c r="U695" s="79"/>
    </row>
    <row r="696" ht="14.25" customHeight="1">
      <c r="U696" s="79"/>
    </row>
    <row r="697" ht="14.25" customHeight="1">
      <c r="U697" s="79"/>
    </row>
    <row r="698" ht="14.25" customHeight="1">
      <c r="U698" s="79"/>
    </row>
    <row r="699" ht="14.25" customHeight="1">
      <c r="U699" s="79"/>
    </row>
    <row r="700" ht="14.25" customHeight="1">
      <c r="U700" s="79"/>
    </row>
    <row r="701" ht="14.25" customHeight="1">
      <c r="U701" s="79"/>
    </row>
    <row r="702" ht="14.25" customHeight="1">
      <c r="U702" s="79"/>
    </row>
    <row r="703" ht="14.25" customHeight="1">
      <c r="U703" s="79"/>
    </row>
    <row r="704" ht="14.25" customHeight="1">
      <c r="U704" s="79"/>
    </row>
    <row r="705" ht="14.25" customHeight="1">
      <c r="U705" s="79"/>
    </row>
    <row r="706" ht="14.25" customHeight="1">
      <c r="U706" s="79"/>
    </row>
    <row r="707" ht="14.25" customHeight="1">
      <c r="U707" s="79"/>
    </row>
    <row r="708" ht="14.25" customHeight="1">
      <c r="U708" s="79"/>
    </row>
    <row r="709" ht="14.25" customHeight="1">
      <c r="U709" s="79"/>
    </row>
    <row r="710" ht="14.25" customHeight="1">
      <c r="U710" s="79"/>
    </row>
    <row r="711" ht="14.25" customHeight="1">
      <c r="U711" s="79"/>
    </row>
    <row r="712" ht="14.25" customHeight="1">
      <c r="U712" s="79"/>
    </row>
    <row r="713" ht="14.25" customHeight="1">
      <c r="U713" s="79"/>
    </row>
    <row r="714" ht="14.25" customHeight="1">
      <c r="U714" s="79"/>
    </row>
    <row r="715" ht="14.25" customHeight="1">
      <c r="U715" s="79"/>
    </row>
    <row r="716" ht="14.25" customHeight="1">
      <c r="U716" s="79"/>
    </row>
    <row r="717" ht="14.25" customHeight="1">
      <c r="U717" s="79"/>
    </row>
    <row r="718" ht="14.25" customHeight="1">
      <c r="U718" s="79"/>
    </row>
    <row r="719" ht="14.25" customHeight="1">
      <c r="U719" s="79"/>
    </row>
    <row r="720" ht="14.25" customHeight="1">
      <c r="U720" s="79"/>
    </row>
    <row r="721" ht="14.25" customHeight="1">
      <c r="U721" s="79"/>
    </row>
    <row r="722" ht="14.25" customHeight="1">
      <c r="U722" s="79"/>
    </row>
    <row r="723" ht="14.25" customHeight="1">
      <c r="U723" s="79"/>
    </row>
    <row r="724" ht="14.25" customHeight="1">
      <c r="U724" s="79"/>
    </row>
    <row r="725" ht="14.25" customHeight="1">
      <c r="U725" s="79"/>
    </row>
    <row r="726" ht="14.25" customHeight="1">
      <c r="U726" s="79"/>
    </row>
    <row r="727" ht="14.25" customHeight="1">
      <c r="U727" s="79"/>
    </row>
    <row r="728" ht="14.25" customHeight="1">
      <c r="U728" s="79"/>
    </row>
    <row r="729" ht="14.25" customHeight="1">
      <c r="U729" s="79"/>
    </row>
    <row r="730" ht="14.25" customHeight="1">
      <c r="U730" s="79"/>
    </row>
    <row r="731" ht="14.25" customHeight="1">
      <c r="U731" s="79"/>
    </row>
    <row r="732" ht="14.25" customHeight="1">
      <c r="U732" s="79"/>
    </row>
    <row r="733" ht="14.25" customHeight="1">
      <c r="U733" s="79"/>
    </row>
    <row r="734" ht="14.25" customHeight="1">
      <c r="U734" s="79"/>
    </row>
    <row r="735" ht="14.25" customHeight="1">
      <c r="U735" s="79"/>
    </row>
    <row r="736" ht="14.25" customHeight="1">
      <c r="U736" s="79"/>
    </row>
    <row r="737" ht="14.25" customHeight="1">
      <c r="U737" s="79"/>
    </row>
    <row r="738" ht="14.25" customHeight="1">
      <c r="U738" s="79"/>
    </row>
    <row r="739" ht="14.25" customHeight="1">
      <c r="U739" s="79"/>
    </row>
    <row r="740" ht="14.25" customHeight="1">
      <c r="U740" s="79"/>
    </row>
    <row r="741" ht="14.25" customHeight="1">
      <c r="U741" s="79"/>
    </row>
    <row r="742" ht="14.25" customHeight="1">
      <c r="U742" s="79"/>
    </row>
    <row r="743" ht="14.25" customHeight="1">
      <c r="U743" s="79"/>
    </row>
    <row r="744" ht="14.25" customHeight="1">
      <c r="U744" s="79"/>
    </row>
    <row r="745" ht="14.25" customHeight="1">
      <c r="U745" s="79"/>
    </row>
    <row r="746" ht="14.25" customHeight="1">
      <c r="U746" s="79"/>
    </row>
    <row r="747" ht="14.25" customHeight="1">
      <c r="U747" s="79"/>
    </row>
    <row r="748" ht="14.25" customHeight="1">
      <c r="U748" s="79"/>
    </row>
    <row r="749" ht="14.25" customHeight="1">
      <c r="U749" s="79"/>
    </row>
    <row r="750" ht="14.25" customHeight="1">
      <c r="U750" s="79"/>
    </row>
    <row r="751" ht="14.25" customHeight="1">
      <c r="U751" s="79"/>
    </row>
    <row r="752" ht="14.25" customHeight="1">
      <c r="U752" s="79"/>
    </row>
    <row r="753" ht="14.25" customHeight="1">
      <c r="U753" s="79"/>
    </row>
    <row r="754" ht="14.25" customHeight="1">
      <c r="U754" s="79"/>
    </row>
    <row r="755" ht="14.25" customHeight="1">
      <c r="U755" s="79"/>
    </row>
    <row r="756" ht="14.25" customHeight="1">
      <c r="U756" s="79"/>
    </row>
    <row r="757" ht="14.25" customHeight="1">
      <c r="U757" s="79"/>
    </row>
    <row r="758" ht="14.25" customHeight="1">
      <c r="U758" s="79"/>
    </row>
    <row r="759" ht="14.25" customHeight="1">
      <c r="U759" s="79"/>
    </row>
    <row r="760" ht="14.25" customHeight="1">
      <c r="U760" s="79"/>
    </row>
    <row r="761" ht="14.25" customHeight="1">
      <c r="U761" s="79"/>
    </row>
    <row r="762" ht="14.25" customHeight="1">
      <c r="U762" s="79"/>
    </row>
    <row r="763" ht="14.25" customHeight="1">
      <c r="U763" s="79"/>
    </row>
    <row r="764" ht="14.25" customHeight="1">
      <c r="U764" s="79"/>
    </row>
    <row r="765" ht="14.25" customHeight="1">
      <c r="U765" s="79"/>
    </row>
    <row r="766" ht="14.25" customHeight="1">
      <c r="U766" s="79"/>
    </row>
    <row r="767" ht="14.25" customHeight="1">
      <c r="U767" s="79"/>
    </row>
    <row r="768" ht="14.25" customHeight="1">
      <c r="U768" s="79"/>
    </row>
    <row r="769" ht="14.25" customHeight="1">
      <c r="U769" s="79"/>
    </row>
    <row r="770" ht="14.25" customHeight="1">
      <c r="U770" s="79"/>
    </row>
    <row r="771" ht="14.25" customHeight="1">
      <c r="U771" s="79"/>
    </row>
    <row r="772" ht="14.25" customHeight="1">
      <c r="U772" s="79"/>
    </row>
    <row r="773" ht="14.25" customHeight="1">
      <c r="U773" s="79"/>
    </row>
    <row r="774" ht="14.25" customHeight="1">
      <c r="U774" s="79"/>
    </row>
    <row r="775" ht="14.25" customHeight="1">
      <c r="U775" s="79"/>
    </row>
    <row r="776" ht="14.25" customHeight="1">
      <c r="U776" s="79"/>
    </row>
    <row r="777" ht="14.25" customHeight="1">
      <c r="U777" s="79"/>
    </row>
    <row r="778" ht="14.25" customHeight="1">
      <c r="U778" s="79"/>
    </row>
    <row r="779" ht="14.25" customHeight="1">
      <c r="U779" s="79"/>
    </row>
    <row r="780" ht="14.25" customHeight="1">
      <c r="U780" s="79"/>
    </row>
    <row r="781" ht="14.25" customHeight="1">
      <c r="U781" s="79"/>
    </row>
    <row r="782" ht="14.25" customHeight="1">
      <c r="U782" s="79"/>
    </row>
    <row r="783" ht="14.25" customHeight="1">
      <c r="U783" s="79"/>
    </row>
    <row r="784" ht="14.25" customHeight="1">
      <c r="U784" s="79"/>
    </row>
    <row r="785" ht="14.25" customHeight="1">
      <c r="U785" s="79"/>
    </row>
    <row r="786" ht="14.25" customHeight="1">
      <c r="U786" s="79"/>
    </row>
    <row r="787" ht="14.25" customHeight="1">
      <c r="U787" s="79"/>
    </row>
    <row r="788" ht="14.25" customHeight="1">
      <c r="U788" s="79"/>
    </row>
    <row r="789" ht="14.25" customHeight="1">
      <c r="U789" s="79"/>
    </row>
    <row r="790" ht="14.25" customHeight="1">
      <c r="U790" s="79"/>
    </row>
    <row r="791" ht="14.25" customHeight="1">
      <c r="U791" s="79"/>
    </row>
    <row r="792" ht="14.25" customHeight="1">
      <c r="U792" s="79"/>
    </row>
    <row r="793" ht="14.25" customHeight="1">
      <c r="U793" s="79"/>
    </row>
    <row r="794" ht="14.25" customHeight="1">
      <c r="U794" s="79"/>
    </row>
    <row r="795" ht="14.25" customHeight="1">
      <c r="U795" s="79"/>
    </row>
    <row r="796" ht="14.25" customHeight="1">
      <c r="U796" s="79"/>
    </row>
    <row r="797" ht="14.25" customHeight="1">
      <c r="U797" s="79"/>
    </row>
    <row r="798" ht="14.25" customHeight="1">
      <c r="U798" s="79"/>
    </row>
    <row r="799" ht="14.25" customHeight="1">
      <c r="U799" s="79"/>
    </row>
    <row r="800" ht="14.25" customHeight="1">
      <c r="U800" s="79"/>
    </row>
    <row r="801" ht="14.25" customHeight="1">
      <c r="U801" s="79"/>
    </row>
    <row r="802" ht="14.25" customHeight="1">
      <c r="U802" s="79"/>
    </row>
    <row r="803" ht="14.25" customHeight="1">
      <c r="U803" s="79"/>
    </row>
    <row r="804" ht="14.25" customHeight="1">
      <c r="U804" s="79"/>
    </row>
    <row r="805" ht="14.25" customHeight="1">
      <c r="U805" s="79"/>
    </row>
    <row r="806" ht="14.25" customHeight="1">
      <c r="U806" s="79"/>
    </row>
    <row r="807" ht="14.25" customHeight="1">
      <c r="U807" s="79"/>
    </row>
    <row r="808" ht="14.25" customHeight="1">
      <c r="U808" s="79"/>
    </row>
    <row r="809" ht="14.25" customHeight="1">
      <c r="U809" s="79"/>
    </row>
    <row r="810" ht="14.25" customHeight="1">
      <c r="U810" s="79"/>
    </row>
    <row r="811" ht="14.25" customHeight="1">
      <c r="U811" s="79"/>
    </row>
    <row r="812" ht="14.25" customHeight="1">
      <c r="U812" s="79"/>
    </row>
    <row r="813" ht="14.25" customHeight="1">
      <c r="U813" s="79"/>
    </row>
    <row r="814" ht="14.25" customHeight="1">
      <c r="U814" s="79"/>
    </row>
    <row r="815" ht="14.25" customHeight="1">
      <c r="U815" s="79"/>
    </row>
    <row r="816" ht="14.25" customHeight="1">
      <c r="U816" s="79"/>
    </row>
    <row r="817" ht="14.25" customHeight="1">
      <c r="U817" s="79"/>
    </row>
    <row r="818" ht="14.25" customHeight="1">
      <c r="U818" s="79"/>
    </row>
    <row r="819" ht="14.25" customHeight="1">
      <c r="U819" s="79"/>
    </row>
    <row r="820" ht="14.25" customHeight="1">
      <c r="U820" s="79"/>
    </row>
    <row r="821" ht="14.25" customHeight="1">
      <c r="U821" s="79"/>
    </row>
    <row r="822" ht="14.25" customHeight="1">
      <c r="U822" s="79"/>
    </row>
    <row r="823" ht="14.25" customHeight="1">
      <c r="U823" s="79"/>
    </row>
    <row r="824" ht="14.25" customHeight="1">
      <c r="U824" s="79"/>
    </row>
    <row r="825" ht="14.25" customHeight="1">
      <c r="U825" s="79"/>
    </row>
    <row r="826" ht="14.25" customHeight="1">
      <c r="U826" s="79"/>
    </row>
    <row r="827" ht="14.25" customHeight="1">
      <c r="U827" s="79"/>
    </row>
    <row r="828" ht="14.25" customHeight="1">
      <c r="U828" s="79"/>
    </row>
    <row r="829" ht="14.25" customHeight="1">
      <c r="U829" s="79"/>
    </row>
    <row r="830" ht="14.25" customHeight="1">
      <c r="U830" s="79"/>
    </row>
    <row r="831" ht="14.25" customHeight="1">
      <c r="U831" s="79"/>
    </row>
    <row r="832" ht="14.25" customHeight="1">
      <c r="U832" s="79"/>
    </row>
    <row r="833" ht="14.25" customHeight="1">
      <c r="U833" s="79"/>
    </row>
    <row r="834" ht="14.25" customHeight="1">
      <c r="U834" s="79"/>
    </row>
    <row r="835" ht="14.25" customHeight="1">
      <c r="U835" s="79"/>
    </row>
    <row r="836" ht="14.25" customHeight="1">
      <c r="U836" s="79"/>
    </row>
    <row r="837" ht="14.25" customHeight="1">
      <c r="U837" s="79"/>
    </row>
    <row r="838" ht="14.25" customHeight="1">
      <c r="U838" s="79"/>
    </row>
    <row r="839" ht="14.25" customHeight="1">
      <c r="U839" s="79"/>
    </row>
    <row r="840" ht="14.25" customHeight="1">
      <c r="U840" s="79"/>
    </row>
    <row r="841" ht="14.25" customHeight="1">
      <c r="U841" s="79"/>
    </row>
    <row r="842" ht="14.25" customHeight="1">
      <c r="U842" s="79"/>
    </row>
    <row r="843" ht="14.25" customHeight="1">
      <c r="U843" s="79"/>
    </row>
    <row r="844" ht="14.25" customHeight="1">
      <c r="U844" s="79"/>
    </row>
    <row r="845" ht="14.25" customHeight="1">
      <c r="U845" s="79"/>
    </row>
    <row r="846" ht="14.25" customHeight="1">
      <c r="U846" s="79"/>
    </row>
    <row r="847" ht="14.25" customHeight="1">
      <c r="U847" s="79"/>
    </row>
    <row r="848" ht="14.25" customHeight="1">
      <c r="U848" s="79"/>
    </row>
    <row r="849" ht="14.25" customHeight="1">
      <c r="U849" s="79"/>
    </row>
    <row r="850" ht="14.25" customHeight="1">
      <c r="U850" s="79"/>
    </row>
    <row r="851" ht="14.25" customHeight="1">
      <c r="U851" s="79"/>
    </row>
    <row r="852" ht="14.25" customHeight="1">
      <c r="U852" s="79"/>
    </row>
    <row r="853" ht="14.25" customHeight="1">
      <c r="U853" s="79"/>
    </row>
    <row r="854" ht="14.25" customHeight="1">
      <c r="U854" s="79"/>
    </row>
    <row r="855" ht="14.25" customHeight="1">
      <c r="U855" s="79"/>
    </row>
    <row r="856" ht="14.25" customHeight="1">
      <c r="U856" s="79"/>
    </row>
    <row r="857" ht="14.25" customHeight="1">
      <c r="U857" s="79"/>
    </row>
    <row r="858" ht="14.25" customHeight="1">
      <c r="U858" s="79"/>
    </row>
    <row r="859" ht="14.25" customHeight="1">
      <c r="U859" s="79"/>
    </row>
    <row r="860" ht="14.25" customHeight="1">
      <c r="U860" s="79"/>
    </row>
    <row r="861" ht="14.25" customHeight="1">
      <c r="U861" s="79"/>
    </row>
    <row r="862" ht="14.25" customHeight="1">
      <c r="U862" s="79"/>
    </row>
    <row r="863" ht="14.25" customHeight="1">
      <c r="U863" s="79"/>
    </row>
    <row r="864" ht="14.25" customHeight="1">
      <c r="U864" s="79"/>
    </row>
    <row r="865" ht="14.25" customHeight="1">
      <c r="U865" s="79"/>
    </row>
    <row r="866" ht="14.25" customHeight="1">
      <c r="U866" s="79"/>
    </row>
    <row r="867" ht="14.25" customHeight="1">
      <c r="U867" s="79"/>
    </row>
    <row r="868" ht="14.25" customHeight="1">
      <c r="U868" s="79"/>
    </row>
    <row r="869" ht="14.25" customHeight="1">
      <c r="U869" s="79"/>
    </row>
    <row r="870" ht="14.25" customHeight="1">
      <c r="U870" s="79"/>
    </row>
    <row r="871" ht="14.25" customHeight="1">
      <c r="U871" s="79"/>
    </row>
    <row r="872" ht="14.25" customHeight="1">
      <c r="U872" s="79"/>
    </row>
    <row r="873" ht="14.25" customHeight="1">
      <c r="U873" s="79"/>
    </row>
    <row r="874" ht="14.25" customHeight="1">
      <c r="U874" s="79"/>
    </row>
    <row r="875" ht="14.25" customHeight="1">
      <c r="U875" s="79"/>
    </row>
    <row r="876" ht="14.25" customHeight="1">
      <c r="U876" s="79"/>
    </row>
    <row r="877" ht="14.25" customHeight="1">
      <c r="U877" s="79"/>
    </row>
    <row r="878" ht="14.25" customHeight="1">
      <c r="U878" s="79"/>
    </row>
    <row r="879" ht="14.25" customHeight="1">
      <c r="U879" s="79"/>
    </row>
    <row r="880" ht="14.25" customHeight="1">
      <c r="U880" s="79"/>
    </row>
    <row r="881" ht="14.25" customHeight="1">
      <c r="U881" s="79"/>
    </row>
    <row r="882" ht="14.25" customHeight="1">
      <c r="U882" s="79"/>
    </row>
    <row r="883" ht="14.25" customHeight="1">
      <c r="U883" s="79"/>
    </row>
    <row r="884" ht="14.25" customHeight="1">
      <c r="U884" s="79"/>
    </row>
    <row r="885" ht="14.25" customHeight="1">
      <c r="U885" s="79"/>
    </row>
    <row r="886" ht="14.25" customHeight="1">
      <c r="U886" s="79"/>
    </row>
    <row r="887" ht="14.25" customHeight="1">
      <c r="U887" s="79"/>
    </row>
    <row r="888" ht="14.25" customHeight="1">
      <c r="U888" s="79"/>
    </row>
    <row r="889" ht="14.25" customHeight="1">
      <c r="U889" s="79"/>
    </row>
    <row r="890" ht="14.25" customHeight="1">
      <c r="U890" s="79"/>
    </row>
    <row r="891" ht="14.25" customHeight="1">
      <c r="U891" s="79"/>
    </row>
    <row r="892" ht="14.25" customHeight="1">
      <c r="U892" s="79"/>
    </row>
    <row r="893" ht="14.25" customHeight="1">
      <c r="U893" s="79"/>
    </row>
    <row r="894" ht="14.25" customHeight="1">
      <c r="U894" s="79"/>
    </row>
    <row r="895" ht="14.25" customHeight="1">
      <c r="U895" s="79"/>
    </row>
    <row r="896" ht="14.25" customHeight="1">
      <c r="U896" s="79"/>
    </row>
    <row r="897" ht="14.25" customHeight="1">
      <c r="U897" s="79"/>
    </row>
    <row r="898" ht="14.25" customHeight="1">
      <c r="U898" s="79"/>
    </row>
    <row r="899" ht="14.25" customHeight="1">
      <c r="U899" s="79"/>
    </row>
    <row r="900" ht="14.25" customHeight="1">
      <c r="U900" s="79"/>
    </row>
    <row r="901" ht="14.25" customHeight="1">
      <c r="U901" s="79"/>
    </row>
    <row r="902" ht="14.25" customHeight="1">
      <c r="U902" s="79"/>
    </row>
    <row r="903" ht="14.25" customHeight="1">
      <c r="U903" s="79"/>
    </row>
    <row r="904" ht="14.25" customHeight="1">
      <c r="U904" s="79"/>
    </row>
    <row r="905" ht="14.25" customHeight="1">
      <c r="U905" s="79"/>
    </row>
    <row r="906" ht="14.25" customHeight="1">
      <c r="U906" s="79"/>
    </row>
    <row r="907" ht="14.25" customHeight="1">
      <c r="U907" s="79"/>
    </row>
    <row r="908" ht="14.25" customHeight="1">
      <c r="U908" s="79"/>
    </row>
    <row r="909" ht="14.25" customHeight="1">
      <c r="U909" s="79"/>
    </row>
    <row r="910" ht="14.25" customHeight="1">
      <c r="U910" s="79"/>
    </row>
    <row r="911" ht="14.25" customHeight="1">
      <c r="U911" s="79"/>
    </row>
    <row r="912" ht="14.25" customHeight="1">
      <c r="U912" s="79"/>
    </row>
    <row r="913" ht="14.25" customHeight="1">
      <c r="U913" s="79"/>
    </row>
    <row r="914" ht="14.25" customHeight="1">
      <c r="U914" s="79"/>
    </row>
    <row r="915" ht="14.25" customHeight="1">
      <c r="U915" s="79"/>
    </row>
    <row r="916" ht="14.25" customHeight="1">
      <c r="U916" s="79"/>
    </row>
    <row r="917" ht="14.25" customHeight="1">
      <c r="U917" s="79"/>
    </row>
    <row r="918" ht="14.25" customHeight="1">
      <c r="U918" s="79"/>
    </row>
    <row r="919" ht="14.25" customHeight="1">
      <c r="U919" s="79"/>
    </row>
    <row r="920" ht="14.25" customHeight="1">
      <c r="U920" s="79"/>
    </row>
    <row r="921" ht="14.25" customHeight="1">
      <c r="U921" s="79"/>
    </row>
    <row r="922" ht="14.25" customHeight="1">
      <c r="U922" s="79"/>
    </row>
    <row r="923" ht="14.25" customHeight="1">
      <c r="U923" s="79"/>
    </row>
    <row r="924" ht="14.25" customHeight="1">
      <c r="U924" s="79"/>
    </row>
    <row r="925" ht="14.25" customHeight="1">
      <c r="U925" s="79"/>
    </row>
    <row r="926" ht="14.25" customHeight="1">
      <c r="U926" s="79"/>
    </row>
    <row r="927" ht="14.25" customHeight="1">
      <c r="U927" s="79"/>
    </row>
    <row r="928" ht="14.25" customHeight="1">
      <c r="U928" s="79"/>
    </row>
    <row r="929" ht="14.25" customHeight="1">
      <c r="U929" s="79"/>
    </row>
    <row r="930" ht="14.25" customHeight="1">
      <c r="U930" s="79"/>
    </row>
    <row r="931" ht="14.25" customHeight="1">
      <c r="U931" s="79"/>
    </row>
    <row r="932" ht="14.25" customHeight="1">
      <c r="U932" s="79"/>
    </row>
    <row r="933" ht="14.25" customHeight="1">
      <c r="U933" s="79"/>
    </row>
    <row r="934" ht="14.25" customHeight="1">
      <c r="U934" s="79"/>
    </row>
    <row r="935" ht="14.25" customHeight="1">
      <c r="U935" s="79"/>
    </row>
    <row r="936" ht="14.25" customHeight="1">
      <c r="U936" s="79"/>
    </row>
    <row r="937" ht="14.25" customHeight="1">
      <c r="U937" s="79"/>
    </row>
    <row r="938" ht="14.25" customHeight="1">
      <c r="U938" s="79"/>
    </row>
    <row r="939" ht="14.25" customHeight="1">
      <c r="U939" s="79"/>
    </row>
    <row r="940" ht="14.25" customHeight="1">
      <c r="U940" s="79"/>
    </row>
    <row r="941" ht="14.25" customHeight="1">
      <c r="U941" s="79"/>
    </row>
    <row r="942" ht="14.25" customHeight="1">
      <c r="U942" s="79"/>
    </row>
    <row r="943" ht="14.25" customHeight="1">
      <c r="U943" s="79"/>
    </row>
    <row r="944" ht="14.25" customHeight="1">
      <c r="U944" s="79"/>
    </row>
    <row r="945" ht="14.25" customHeight="1">
      <c r="U945" s="79"/>
    </row>
    <row r="946" ht="14.25" customHeight="1">
      <c r="U946" s="79"/>
    </row>
    <row r="947" ht="14.25" customHeight="1">
      <c r="U947" s="79"/>
    </row>
    <row r="948" ht="14.25" customHeight="1">
      <c r="U948" s="79"/>
    </row>
    <row r="949" ht="14.25" customHeight="1">
      <c r="U949" s="79"/>
    </row>
    <row r="950" ht="14.25" customHeight="1">
      <c r="U950" s="79"/>
    </row>
    <row r="951" ht="14.25" customHeight="1">
      <c r="U951" s="79"/>
    </row>
    <row r="952" ht="14.25" customHeight="1">
      <c r="U952" s="79"/>
    </row>
    <row r="953" ht="14.25" customHeight="1">
      <c r="U953" s="79"/>
    </row>
    <row r="954" ht="14.25" customHeight="1">
      <c r="U954" s="79"/>
    </row>
    <row r="955" ht="14.25" customHeight="1">
      <c r="U955" s="79"/>
    </row>
    <row r="956" ht="14.25" customHeight="1">
      <c r="U956" s="79"/>
    </row>
    <row r="957" ht="14.25" customHeight="1">
      <c r="U957" s="79"/>
    </row>
    <row r="958" ht="14.25" customHeight="1">
      <c r="U958" s="79"/>
    </row>
    <row r="959" ht="14.25" customHeight="1">
      <c r="U959" s="79"/>
    </row>
    <row r="960" ht="14.25" customHeight="1">
      <c r="U960" s="79"/>
    </row>
    <row r="961" ht="14.25" customHeight="1">
      <c r="U961" s="79"/>
    </row>
    <row r="962" ht="14.25" customHeight="1">
      <c r="U962" s="79"/>
    </row>
    <row r="963" ht="14.25" customHeight="1">
      <c r="U963" s="79"/>
    </row>
    <row r="964" ht="14.25" customHeight="1">
      <c r="U964" s="79"/>
    </row>
    <row r="965" ht="14.25" customHeight="1">
      <c r="U965" s="79"/>
    </row>
    <row r="966" ht="14.25" customHeight="1">
      <c r="U966" s="79"/>
    </row>
    <row r="967" ht="14.25" customHeight="1">
      <c r="U967" s="79"/>
    </row>
    <row r="968" ht="14.25" customHeight="1">
      <c r="U968" s="79"/>
    </row>
    <row r="969" ht="14.25" customHeight="1">
      <c r="U969" s="79"/>
    </row>
    <row r="970" ht="14.25" customHeight="1">
      <c r="U970" s="79"/>
    </row>
    <row r="971" ht="14.25" customHeight="1">
      <c r="U971" s="79"/>
    </row>
    <row r="972" ht="14.25" customHeight="1">
      <c r="U972" s="79"/>
    </row>
    <row r="973" ht="14.25" customHeight="1">
      <c r="U973" s="79"/>
    </row>
    <row r="974" ht="14.25" customHeight="1">
      <c r="U974" s="79"/>
    </row>
    <row r="975" ht="14.25" customHeight="1">
      <c r="U975" s="79"/>
    </row>
    <row r="976" ht="14.25" customHeight="1">
      <c r="U976" s="79"/>
    </row>
    <row r="977" ht="14.25" customHeight="1">
      <c r="U977" s="79"/>
    </row>
    <row r="978" ht="14.25" customHeight="1">
      <c r="U978" s="79"/>
    </row>
    <row r="979" ht="14.25" customHeight="1">
      <c r="U979" s="79"/>
    </row>
    <row r="980" ht="14.25" customHeight="1">
      <c r="U980" s="79"/>
    </row>
    <row r="981" ht="14.25" customHeight="1">
      <c r="U981" s="79"/>
    </row>
    <row r="982" ht="14.25" customHeight="1">
      <c r="U982" s="79"/>
    </row>
    <row r="983" ht="14.25" customHeight="1">
      <c r="U983" s="79"/>
    </row>
    <row r="984" ht="14.25" customHeight="1">
      <c r="U984" s="79"/>
    </row>
    <row r="985" ht="14.25" customHeight="1">
      <c r="U985" s="79"/>
    </row>
    <row r="986" ht="14.25" customHeight="1">
      <c r="U986" s="79"/>
    </row>
    <row r="987" ht="14.25" customHeight="1">
      <c r="U987" s="79"/>
    </row>
    <row r="988" ht="14.25" customHeight="1">
      <c r="U988" s="79"/>
    </row>
    <row r="989" ht="14.25" customHeight="1">
      <c r="U989" s="79"/>
    </row>
    <row r="990" ht="14.25" customHeight="1">
      <c r="U990" s="79"/>
    </row>
    <row r="991" ht="14.25" customHeight="1">
      <c r="U991" s="79"/>
    </row>
    <row r="992" ht="14.25" customHeight="1">
      <c r="U992" s="79"/>
    </row>
    <row r="993" ht="14.25" customHeight="1">
      <c r="U993" s="79"/>
    </row>
    <row r="994" ht="14.25" customHeight="1">
      <c r="U994" s="79"/>
    </row>
    <row r="995" ht="14.25" customHeight="1">
      <c r="U995" s="79"/>
    </row>
    <row r="996" ht="14.25" customHeight="1">
      <c r="U996" s="79"/>
    </row>
    <row r="997" ht="14.25" customHeight="1">
      <c r="U997" s="79"/>
    </row>
    <row r="998" ht="14.25" customHeight="1">
      <c r="U998" s="79"/>
    </row>
    <row r="999" ht="14.25" customHeight="1">
      <c r="U999" s="79"/>
    </row>
    <row r="1000" ht="14.25" customHeight="1">
      <c r="U1000" s="79"/>
    </row>
  </sheetData>
  <mergeCells count="7">
    <mergeCell ref="A1:A2"/>
    <mergeCell ref="B1:B2"/>
    <mergeCell ref="C1:O1"/>
    <mergeCell ref="P1:R1"/>
    <mergeCell ref="S1:S2"/>
    <mergeCell ref="T1:T2"/>
    <mergeCell ref="U1:U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.29"/>
    <col customWidth="1" min="3" max="3" width="12.71"/>
    <col customWidth="1" min="4" max="4" width="12.43"/>
    <col customWidth="1" min="5" max="5" width="8.29"/>
    <col customWidth="1" min="6" max="6" width="11.71"/>
    <col customWidth="1" min="7" max="7" width="5.0"/>
    <col customWidth="1" min="8" max="8" width="9.29"/>
    <col customWidth="1" min="9" max="9" width="17.29"/>
    <col customWidth="1" min="10" max="10" width="12.14"/>
    <col customWidth="1" min="11" max="11" width="23.0"/>
    <col customWidth="1" min="12" max="12" width="15.14"/>
    <col customWidth="1" min="13" max="14" width="15.86"/>
    <col customWidth="1" min="15" max="15" width="9.0"/>
    <col customWidth="1" min="16" max="16" width="29.86"/>
    <col customWidth="1" min="17" max="17" width="7.14"/>
    <col customWidth="1" min="18" max="18" width="15.57"/>
    <col customWidth="1" min="19" max="19" width="19.71"/>
    <col customWidth="1" min="20" max="20" width="12.29"/>
    <col customWidth="1" min="21" max="21" width="16.71"/>
    <col customWidth="1" min="22" max="26" width="14.0"/>
  </cols>
  <sheetData>
    <row r="1" ht="31.5" customHeight="1">
      <c r="A1" s="80" t="s">
        <v>0</v>
      </c>
      <c r="B1" s="80" t="s">
        <v>6</v>
      </c>
      <c r="C1" s="80" t="s">
        <v>35</v>
      </c>
      <c r="D1" s="80" t="s">
        <v>36</v>
      </c>
      <c r="E1" s="80" t="s">
        <v>37</v>
      </c>
      <c r="F1" s="80" t="s">
        <v>38</v>
      </c>
      <c r="H1" s="81" t="s">
        <v>39</v>
      </c>
      <c r="I1" s="81" t="s">
        <v>40</v>
      </c>
      <c r="J1" s="81" t="s">
        <v>6</v>
      </c>
      <c r="K1" s="82" t="s">
        <v>41</v>
      </c>
      <c r="L1" s="81" t="s">
        <v>42</v>
      </c>
      <c r="M1" s="81" t="s">
        <v>43</v>
      </c>
      <c r="N1" s="81" t="s">
        <v>22</v>
      </c>
      <c r="O1" s="82" t="s">
        <v>44</v>
      </c>
      <c r="P1" s="82" t="s">
        <v>45</v>
      </c>
      <c r="R1" s="83" t="s">
        <v>46</v>
      </c>
      <c r="S1" s="83" t="s">
        <v>47</v>
      </c>
      <c r="T1" s="83" t="s">
        <v>48</v>
      </c>
      <c r="U1" s="83" t="s">
        <v>49</v>
      </c>
    </row>
    <row r="2" ht="18.75" customHeight="1">
      <c r="A2" s="24">
        <v>2023.0</v>
      </c>
      <c r="B2" s="84">
        <f>SUM(Salary!U14:U18)</f>
        <v>200563</v>
      </c>
      <c r="C2" s="25">
        <f>SUM(Salary!P14:P18)</f>
        <v>9000</v>
      </c>
      <c r="D2" s="25">
        <f>SUM(Salary!S14:S18)</f>
        <v>5766</v>
      </c>
      <c r="E2" s="25">
        <f t="shared" ref="E2:E5" si="1">SUM(C2,D2)</f>
        <v>14766</v>
      </c>
      <c r="F2" s="85">
        <f t="shared" ref="F2:F5" si="2">SUM(B2,E2)</f>
        <v>215329</v>
      </c>
      <c r="H2" s="86" t="s">
        <v>50</v>
      </c>
      <c r="I2" s="86" t="s">
        <v>51</v>
      </c>
      <c r="J2" s="86"/>
      <c r="K2" s="86"/>
      <c r="L2" s="86"/>
      <c r="M2" s="24"/>
      <c r="N2" s="24"/>
      <c r="O2" s="87"/>
      <c r="P2" s="87">
        <f>SUM(Salary!U3:U13)</f>
        <v>190367</v>
      </c>
      <c r="R2" s="88" t="s">
        <v>52</v>
      </c>
      <c r="S2" s="88" t="s">
        <v>53</v>
      </c>
      <c r="T2" s="88" t="s">
        <v>54</v>
      </c>
      <c r="U2" s="87">
        <f>SUM(Salary!O14:O21)+SUM(Salary!S14:S21)+SUM(Salary!T14:T21)</f>
        <v>366130</v>
      </c>
    </row>
    <row r="3" ht="20.25" customHeight="1">
      <c r="A3" s="24">
        <v>2024.0</v>
      </c>
      <c r="B3" s="84">
        <f>SUM(Salary!U19:U30)</f>
        <v>538044.41</v>
      </c>
      <c r="C3" s="25">
        <f>SUM(Salary!P19:P30)</f>
        <v>21600</v>
      </c>
      <c r="D3" s="25">
        <f>SUM(Salary!S19:S30)</f>
        <v>30100</v>
      </c>
      <c r="E3" s="25">
        <f t="shared" si="1"/>
        <v>51700</v>
      </c>
      <c r="F3" s="85">
        <f t="shared" si="2"/>
        <v>589744.41</v>
      </c>
      <c r="H3" s="86" t="s">
        <v>50</v>
      </c>
      <c r="I3" s="86" t="s">
        <v>55</v>
      </c>
      <c r="J3" s="87">
        <f>SUM(Salary!U14:U42)</f>
        <v>1364319.08</v>
      </c>
      <c r="K3" s="87">
        <f>SUM(Salary!P14:P42, Salary!S14:S42)</f>
        <v>116626</v>
      </c>
      <c r="L3" s="87">
        <f t="shared" ref="L3:L5" si="3">SUM(J3,K3)</f>
        <v>1480945.08</v>
      </c>
      <c r="M3" s="89">
        <f>SUM(Salary!Q14:Q42)</f>
        <v>5800</v>
      </c>
      <c r="N3" s="90">
        <v>0.0</v>
      </c>
      <c r="O3" s="89">
        <f>SUM(Salary!T12:T42)</f>
        <v>12500</v>
      </c>
      <c r="P3" s="87">
        <f t="shared" ref="P3:P5" si="4">SUM(L3,O3)</f>
        <v>1493445.08</v>
      </c>
      <c r="R3" s="88" t="s">
        <v>56</v>
      </c>
      <c r="S3" s="88" t="s">
        <v>57</v>
      </c>
      <c r="T3" s="88" t="s">
        <v>52</v>
      </c>
      <c r="U3" s="87">
        <f>SUM(Salary!O22:O33)+SUM(Salary!S22:S33)+SUM(Salary!T22:T33)</f>
        <v>616968.74</v>
      </c>
    </row>
    <row r="4" ht="18.75" customHeight="1">
      <c r="A4" s="24">
        <v>2025.0</v>
      </c>
      <c r="B4" s="84">
        <f>SUM(Salary!U31:U42)</f>
        <v>625711.67</v>
      </c>
      <c r="C4" s="25">
        <f>SUM(Salary!P31:P42)</f>
        <v>21600</v>
      </c>
      <c r="D4" s="25">
        <f>SUM(Salary!S31:S42)</f>
        <v>28560</v>
      </c>
      <c r="E4" s="25">
        <f t="shared" si="1"/>
        <v>50160</v>
      </c>
      <c r="F4" s="85">
        <f t="shared" si="2"/>
        <v>675871.67</v>
      </c>
      <c r="H4" s="86" t="s">
        <v>58</v>
      </c>
      <c r="I4" s="86" t="s">
        <v>55</v>
      </c>
      <c r="J4" s="87">
        <f>SUM(Salary!U43:U47)</f>
        <v>419244</v>
      </c>
      <c r="K4" s="89">
        <f>SUM(Salary!P43:P47, Salary!S43:S47)</f>
        <v>27397</v>
      </c>
      <c r="L4" s="87">
        <f t="shared" si="3"/>
        <v>446641</v>
      </c>
      <c r="M4" s="89">
        <f>SUM(Salary!Q43:Q47)</f>
        <v>1000</v>
      </c>
      <c r="N4" s="90">
        <v>0.0</v>
      </c>
      <c r="O4" s="89">
        <f>SUM(Salary!T43:T47)</f>
        <v>5241</v>
      </c>
      <c r="P4" s="87">
        <f t="shared" si="4"/>
        <v>451882</v>
      </c>
      <c r="R4" s="88" t="s">
        <v>59</v>
      </c>
      <c r="S4" s="88" t="s">
        <v>60</v>
      </c>
      <c r="T4" s="88" t="s">
        <v>56</v>
      </c>
      <c r="U4" s="87">
        <f>SUM(Salary!O34:O45)</f>
        <v>763482.34</v>
      </c>
    </row>
    <row r="5" ht="14.25" customHeight="1">
      <c r="A5" s="24">
        <v>2026.0</v>
      </c>
      <c r="B5" s="84">
        <f>SUM(Salary!U43:U54)</f>
        <v>420244</v>
      </c>
      <c r="C5" s="25">
        <f>SUM(Salary!P43:P54)</f>
        <v>17939</v>
      </c>
      <c r="D5" s="25">
        <f>SUM(Salary!S43:S54)</f>
        <v>9458</v>
      </c>
      <c r="E5" s="25">
        <f t="shared" si="1"/>
        <v>27397</v>
      </c>
      <c r="F5" s="85">
        <f t="shared" si="2"/>
        <v>447641</v>
      </c>
      <c r="H5" s="86" t="s">
        <v>61</v>
      </c>
      <c r="I5" s="86" t="s">
        <v>55</v>
      </c>
      <c r="J5" s="87">
        <f>SUM(Salary!U48:U69)</f>
        <v>1000</v>
      </c>
      <c r="K5" s="89">
        <f>SUM(Salary!P48:P69, Salary!S48:S69)</f>
        <v>0</v>
      </c>
      <c r="L5" s="87">
        <f t="shared" si="3"/>
        <v>1000</v>
      </c>
      <c r="M5" s="89">
        <f>SUM(Salary!Q48:Q69)</f>
        <v>0</v>
      </c>
      <c r="N5" s="87"/>
      <c r="O5" s="89">
        <f>SUM(Salary!T48:T69)</f>
        <v>0</v>
      </c>
      <c r="P5" s="87">
        <f t="shared" si="4"/>
        <v>1000</v>
      </c>
      <c r="R5" s="88" t="s">
        <v>62</v>
      </c>
      <c r="S5" s="88" t="s">
        <v>63</v>
      </c>
      <c r="T5" s="88" t="s">
        <v>59</v>
      </c>
      <c r="U5" s="87">
        <f>SUM(Salary!O46:O57)</f>
        <v>166422</v>
      </c>
    </row>
    <row r="6" ht="14.25" customHeight="1">
      <c r="A6" s="24">
        <v>2027.0</v>
      </c>
      <c r="B6" s="86"/>
      <c r="C6" s="86"/>
      <c r="D6" s="86"/>
      <c r="E6" s="86"/>
      <c r="F6" s="86"/>
      <c r="H6" s="86"/>
      <c r="I6" s="86"/>
      <c r="J6" s="86"/>
      <c r="K6" s="86"/>
      <c r="L6" s="86"/>
      <c r="M6" s="86"/>
      <c r="N6" s="87"/>
      <c r="O6" s="86"/>
      <c r="P6" s="86"/>
    </row>
    <row r="7" ht="14.25" customHeight="1">
      <c r="A7" s="24">
        <v>2028.0</v>
      </c>
      <c r="B7" s="86"/>
      <c r="C7" s="86"/>
      <c r="D7" s="86"/>
      <c r="E7" s="86"/>
      <c r="F7" s="86"/>
      <c r="H7" s="86"/>
      <c r="I7" s="86"/>
      <c r="J7" s="86"/>
      <c r="K7" s="86"/>
      <c r="L7" s="86"/>
      <c r="M7" s="86"/>
      <c r="N7" s="87"/>
      <c r="O7" s="86"/>
      <c r="P7" s="86"/>
    </row>
    <row r="8" ht="14.25" customHeight="1">
      <c r="A8" s="24">
        <v>2029.0</v>
      </c>
      <c r="B8" s="86"/>
      <c r="C8" s="86"/>
      <c r="D8" s="86"/>
      <c r="E8" s="86"/>
      <c r="F8" s="86"/>
      <c r="H8" s="86"/>
      <c r="I8" s="86"/>
      <c r="J8" s="86"/>
      <c r="K8" s="86"/>
      <c r="L8" s="86"/>
      <c r="M8" s="86"/>
      <c r="N8" s="87"/>
      <c r="O8" s="86"/>
      <c r="P8" s="86"/>
    </row>
    <row r="9" ht="14.25" customHeight="1">
      <c r="A9" s="24">
        <v>2030.0</v>
      </c>
      <c r="B9" s="86"/>
      <c r="C9" s="86"/>
      <c r="D9" s="86"/>
      <c r="E9" s="86"/>
      <c r="F9" s="86"/>
      <c r="H9" s="91" t="s">
        <v>64</v>
      </c>
      <c r="I9" s="92"/>
      <c r="J9" s="87">
        <f t="shared" ref="J9:M9" si="5">SUM(J2:J8)</f>
        <v>1784563.08</v>
      </c>
      <c r="K9" s="87">
        <f t="shared" si="5"/>
        <v>144023</v>
      </c>
      <c r="L9" s="87">
        <f t="shared" si="5"/>
        <v>1928586.08</v>
      </c>
      <c r="M9" s="89">
        <f t="shared" si="5"/>
        <v>6800</v>
      </c>
      <c r="N9" s="87"/>
      <c r="O9" s="89">
        <f t="shared" ref="O9:P9" si="6">SUM(O2:O8)</f>
        <v>17741</v>
      </c>
      <c r="P9" s="87">
        <f t="shared" si="6"/>
        <v>2136694.08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9:I9"/>
  </mergeCells>
  <printOptions/>
  <pageMargins bottom="1.0" footer="0.0" header="0.0" left="0.75" right="0.75" top="1.0"/>
  <pageSetup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29"/>
    <col customWidth="1" min="3" max="3" width="8.29"/>
    <col customWidth="1" min="4" max="4" width="35.57"/>
    <col customWidth="1" min="5" max="5" width="21.57"/>
    <col customWidth="1" min="6" max="6" width="11.86"/>
    <col customWidth="1" min="7" max="7" width="10.29"/>
    <col customWidth="1" min="8" max="8" width="15.14"/>
    <col customWidth="1" min="9" max="10" width="14.0"/>
    <col customWidth="1" min="11" max="11" width="10.57"/>
    <col customWidth="1" min="12" max="12" width="8.57"/>
    <col customWidth="1" min="13" max="13" width="6.43"/>
    <col customWidth="1" min="14" max="14" width="8.14"/>
    <col customWidth="1" min="15" max="15" width="9.57"/>
    <col customWidth="1" min="16" max="16" width="10.71"/>
    <col customWidth="1" min="17" max="17" width="12.43"/>
    <col customWidth="1" min="18" max="18" width="9.43"/>
    <col customWidth="1" min="19" max="19" width="10.43"/>
    <col customWidth="1" min="20" max="20" width="7.0"/>
    <col customWidth="1" min="21" max="21" width="8.57"/>
    <col customWidth="1" min="22" max="22" width="12.14"/>
    <col customWidth="1" min="23" max="23" width="11.86"/>
    <col customWidth="1" min="24" max="24" width="12.0"/>
    <col customWidth="1" min="25" max="25" width="8.29"/>
    <col customWidth="1" min="26" max="26" width="14.0"/>
  </cols>
  <sheetData>
    <row r="3">
      <c r="B3" s="93" t="s">
        <v>65</v>
      </c>
      <c r="C3" s="94"/>
      <c r="D3" s="94"/>
      <c r="E3" s="95"/>
      <c r="F3" s="96" t="s">
        <v>66</v>
      </c>
      <c r="G3" s="96" t="s">
        <v>67</v>
      </c>
      <c r="H3" s="96" t="s">
        <v>68</v>
      </c>
      <c r="I3" s="96" t="s">
        <v>69</v>
      </c>
      <c r="J3" s="96" t="s">
        <v>70</v>
      </c>
      <c r="K3" s="97" t="s">
        <v>71</v>
      </c>
      <c r="L3" s="98"/>
      <c r="M3" s="92"/>
      <c r="N3" s="96" t="s">
        <v>72</v>
      </c>
      <c r="O3" s="93" t="s">
        <v>73</v>
      </c>
      <c r="P3" s="95"/>
      <c r="Q3" s="93" t="s">
        <v>74</v>
      </c>
      <c r="R3" s="94"/>
      <c r="S3" s="94"/>
      <c r="T3" s="94"/>
      <c r="U3" s="95"/>
      <c r="V3" s="93" t="s">
        <v>75</v>
      </c>
      <c r="W3" s="94"/>
      <c r="X3" s="94"/>
      <c r="Y3" s="94"/>
      <c r="Z3" s="95"/>
    </row>
    <row r="4">
      <c r="B4" s="99"/>
      <c r="C4" s="100"/>
      <c r="D4" s="100"/>
      <c r="E4" s="101"/>
      <c r="F4" s="102"/>
      <c r="G4" s="102"/>
      <c r="H4" s="102"/>
      <c r="I4" s="102"/>
      <c r="J4" s="102"/>
      <c r="K4" s="96" t="s">
        <v>76</v>
      </c>
      <c r="L4" s="97" t="s">
        <v>77</v>
      </c>
      <c r="M4" s="92"/>
      <c r="N4" s="102"/>
      <c r="O4" s="99"/>
      <c r="P4" s="101"/>
      <c r="Q4" s="99"/>
      <c r="R4" s="100"/>
      <c r="S4" s="100"/>
      <c r="T4" s="100"/>
      <c r="U4" s="101"/>
      <c r="V4" s="99"/>
      <c r="W4" s="100"/>
      <c r="X4" s="100"/>
      <c r="Y4" s="100"/>
      <c r="Z4" s="101"/>
    </row>
    <row r="5">
      <c r="B5" s="103" t="s">
        <v>78</v>
      </c>
      <c r="C5" s="103" t="s">
        <v>79</v>
      </c>
      <c r="D5" s="103" t="s">
        <v>80</v>
      </c>
      <c r="E5" s="103" t="s">
        <v>81</v>
      </c>
      <c r="F5" s="104"/>
      <c r="G5" s="104"/>
      <c r="H5" s="104"/>
      <c r="I5" s="104"/>
      <c r="J5" s="104"/>
      <c r="K5" s="104"/>
      <c r="L5" s="105" t="s">
        <v>82</v>
      </c>
      <c r="M5" s="105" t="s">
        <v>83</v>
      </c>
      <c r="N5" s="104"/>
      <c r="O5" s="105" t="s">
        <v>84</v>
      </c>
      <c r="P5" s="105" t="s">
        <v>85</v>
      </c>
      <c r="Q5" s="105" t="s">
        <v>82</v>
      </c>
      <c r="R5" s="105" t="s">
        <v>86</v>
      </c>
      <c r="S5" s="105" t="s">
        <v>87</v>
      </c>
      <c r="T5" s="105" t="s">
        <v>83</v>
      </c>
      <c r="U5" s="105" t="s">
        <v>64</v>
      </c>
      <c r="V5" s="105" t="s">
        <v>82</v>
      </c>
      <c r="W5" s="105" t="s">
        <v>86</v>
      </c>
      <c r="X5" s="105" t="s">
        <v>87</v>
      </c>
      <c r="Y5" s="105" t="s">
        <v>83</v>
      </c>
      <c r="Z5" s="105" t="s">
        <v>88</v>
      </c>
    </row>
    <row r="6">
      <c r="B6" s="86" t="s">
        <v>89</v>
      </c>
      <c r="C6" s="86" t="s">
        <v>90</v>
      </c>
      <c r="D6" s="86" t="s">
        <v>91</v>
      </c>
      <c r="E6" s="88" t="s">
        <v>92</v>
      </c>
      <c r="F6" s="24">
        <v>22.0</v>
      </c>
      <c r="G6" s="24">
        <v>45.0</v>
      </c>
      <c r="H6" s="106">
        <v>45429.0</v>
      </c>
      <c r="I6" s="107">
        <v>53448.0</v>
      </c>
      <c r="J6" s="108">
        <v>53484.0</v>
      </c>
      <c r="K6" s="24" t="s">
        <v>93</v>
      </c>
      <c r="L6" s="24">
        <v>0.59</v>
      </c>
      <c r="M6" s="24">
        <v>7.35</v>
      </c>
      <c r="N6" s="24" t="s">
        <v>94</v>
      </c>
      <c r="O6" s="24" t="s">
        <v>95</v>
      </c>
      <c r="P6" s="24" t="s">
        <v>96</v>
      </c>
      <c r="Q6" s="25">
        <v>3550.0</v>
      </c>
      <c r="R6" s="25">
        <f>Q6*3</f>
        <v>10650</v>
      </c>
      <c r="S6" s="25">
        <f>Q6*6</f>
        <v>21300</v>
      </c>
      <c r="T6" s="25">
        <f>Q6*12</f>
        <v>42600</v>
      </c>
      <c r="U6" s="24" t="s">
        <v>97</v>
      </c>
      <c r="V6" s="25"/>
      <c r="W6" s="25"/>
      <c r="X6" s="25"/>
      <c r="Y6" s="24"/>
      <c r="Z6" s="109" t="s">
        <v>98</v>
      </c>
    </row>
    <row r="7">
      <c r="B7" s="86" t="s">
        <v>89</v>
      </c>
      <c r="C7" s="86" t="s">
        <v>90</v>
      </c>
      <c r="D7" s="86" t="s">
        <v>99</v>
      </c>
      <c r="E7" s="88" t="s">
        <v>100</v>
      </c>
      <c r="F7" s="24">
        <v>23.0</v>
      </c>
      <c r="G7" s="24">
        <v>46.0</v>
      </c>
      <c r="H7" s="110">
        <v>45733.0</v>
      </c>
      <c r="I7" s="110">
        <v>53768.0</v>
      </c>
      <c r="J7" s="110">
        <v>54134.0</v>
      </c>
      <c r="K7" s="24" t="s">
        <v>93</v>
      </c>
      <c r="L7" s="24">
        <v>0.48</v>
      </c>
      <c r="M7" s="24">
        <v>5.95</v>
      </c>
      <c r="N7" s="24" t="s">
        <v>101</v>
      </c>
      <c r="O7" s="24" t="s">
        <v>102</v>
      </c>
      <c r="P7" s="24" t="s">
        <v>103</v>
      </c>
      <c r="Q7" s="111">
        <f>T7/12</f>
        <v>2093.5</v>
      </c>
      <c r="R7" s="25">
        <f>T7/3</f>
        <v>8374</v>
      </c>
      <c r="S7" s="25">
        <f>T7/2</f>
        <v>12561</v>
      </c>
      <c r="T7" s="25">
        <v>25122.0</v>
      </c>
      <c r="U7" s="24" t="s">
        <v>104</v>
      </c>
      <c r="V7" s="24"/>
      <c r="W7" s="24"/>
      <c r="X7" s="24"/>
      <c r="Y7" s="25"/>
      <c r="Z7" s="109" t="s">
        <v>105</v>
      </c>
    </row>
    <row r="8">
      <c r="B8" s="86" t="s">
        <v>106</v>
      </c>
      <c r="C8" s="86" t="s">
        <v>107</v>
      </c>
      <c r="D8" s="86" t="s">
        <v>99</v>
      </c>
      <c r="E8" s="88" t="s">
        <v>100</v>
      </c>
      <c r="F8" s="24">
        <v>46.0</v>
      </c>
      <c r="G8" s="24">
        <v>62.0</v>
      </c>
      <c r="H8" s="110">
        <v>42641.0</v>
      </c>
      <c r="I8" s="110">
        <v>48301.0</v>
      </c>
      <c r="J8" s="110">
        <v>6695898.0</v>
      </c>
      <c r="K8" s="24" t="s">
        <v>93</v>
      </c>
      <c r="L8" s="24">
        <v>0.48</v>
      </c>
      <c r="M8" s="24">
        <v>2.51</v>
      </c>
      <c r="N8" s="24" t="s">
        <v>108</v>
      </c>
      <c r="O8" s="24" t="s">
        <v>109</v>
      </c>
      <c r="P8" s="24" t="s">
        <v>103</v>
      </c>
      <c r="Q8" s="111">
        <f>S8/6</f>
        <v>729.3333333</v>
      </c>
      <c r="R8" s="25">
        <f>S8/2</f>
        <v>2188</v>
      </c>
      <c r="S8" s="25">
        <v>4376.0</v>
      </c>
      <c r="T8" s="25">
        <f>S8*2</f>
        <v>8752</v>
      </c>
      <c r="U8" s="24" t="s">
        <v>110</v>
      </c>
      <c r="V8" s="24"/>
      <c r="W8" s="24"/>
      <c r="X8" s="24"/>
      <c r="Y8" s="25"/>
      <c r="Z8" s="109" t="s">
        <v>111</v>
      </c>
    </row>
    <row r="9">
      <c r="B9" s="86" t="s">
        <v>89</v>
      </c>
      <c r="C9" s="86" t="s">
        <v>90</v>
      </c>
      <c r="D9" s="86" t="s">
        <v>112</v>
      </c>
      <c r="E9" s="88" t="s">
        <v>113</v>
      </c>
      <c r="F9" s="24">
        <v>23.0</v>
      </c>
      <c r="G9" s="24">
        <v>25.0</v>
      </c>
      <c r="H9" s="110">
        <v>46007.0</v>
      </c>
      <c r="I9" s="110">
        <v>46737.0</v>
      </c>
      <c r="J9" s="110">
        <v>46737.0</v>
      </c>
      <c r="K9" s="24">
        <v>7.0</v>
      </c>
      <c r="L9" s="24">
        <v>0.58</v>
      </c>
      <c r="M9" s="24">
        <v>7.185</v>
      </c>
      <c r="N9" s="24" t="s">
        <v>114</v>
      </c>
      <c r="O9" s="24" t="s">
        <v>93</v>
      </c>
      <c r="P9" s="24" t="s">
        <v>93</v>
      </c>
      <c r="Q9" s="112" t="s">
        <v>115</v>
      </c>
      <c r="R9" s="98"/>
      <c r="S9" s="98"/>
      <c r="T9" s="98"/>
      <c r="U9" s="92"/>
      <c r="V9" s="24"/>
      <c r="W9" s="24"/>
      <c r="X9" s="24"/>
      <c r="Y9" s="25">
        <v>21557.0</v>
      </c>
      <c r="Z9" s="109" t="s">
        <v>115</v>
      </c>
    </row>
    <row r="10">
      <c r="B10" s="88" t="s">
        <v>89</v>
      </c>
      <c r="C10" s="88" t="s">
        <v>90</v>
      </c>
      <c r="D10" s="88" t="s">
        <v>116</v>
      </c>
      <c r="E10" s="88" t="s">
        <v>117</v>
      </c>
      <c r="F10" s="24">
        <v>21.0</v>
      </c>
      <c r="G10" s="24">
        <v>58.0</v>
      </c>
      <c r="H10" s="110">
        <v>45139.0</v>
      </c>
      <c r="I10" s="110">
        <v>58441.0</v>
      </c>
      <c r="J10" s="110">
        <v>58445.0</v>
      </c>
      <c r="K10" s="24"/>
      <c r="L10" s="24">
        <v>0.68</v>
      </c>
      <c r="M10" s="24">
        <v>8.25</v>
      </c>
      <c r="N10" s="24" t="s">
        <v>118</v>
      </c>
      <c r="O10" s="24" t="s">
        <v>119</v>
      </c>
      <c r="P10" s="24" t="s">
        <v>120</v>
      </c>
      <c r="Q10" s="25">
        <v>3558.0</v>
      </c>
      <c r="R10" s="24"/>
      <c r="S10" s="24"/>
      <c r="T10" s="24"/>
      <c r="U10" s="24"/>
      <c r="V10" s="24"/>
      <c r="W10" s="24"/>
      <c r="X10" s="24"/>
      <c r="Y10" s="24"/>
      <c r="Z10" s="113">
        <f>FV(8.25%/12,405,-Q10,-Calculations!K9)</f>
        <v>10091211.29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I27" s="11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N3:N5"/>
    <mergeCell ref="O3:P4"/>
    <mergeCell ref="Q3:U4"/>
    <mergeCell ref="V3:Z4"/>
    <mergeCell ref="Q9:U9"/>
    <mergeCell ref="K3:M3"/>
    <mergeCell ref="L4:M4"/>
    <mergeCell ref="B3:E4"/>
    <mergeCell ref="F3:F5"/>
    <mergeCell ref="G3:G5"/>
    <mergeCell ref="H3:H5"/>
    <mergeCell ref="I3:I5"/>
    <mergeCell ref="J3:J5"/>
    <mergeCell ref="K4:K5"/>
  </mergeCells>
  <conditionalFormatting sqref="Z10">
    <cfRule type="notContainsBlanks" dxfId="3" priority="1">
      <formula>LEN(TRIM(Z10))&gt;0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5.71"/>
    <col customWidth="1" min="3" max="3" width="21.29"/>
    <col customWidth="1" min="4" max="4" width="11.43"/>
    <col customWidth="1" min="5" max="5" width="18.43"/>
    <col customWidth="1" min="6" max="6" width="27.29"/>
    <col customWidth="1" min="7" max="7" width="18.14"/>
    <col customWidth="1" min="8" max="8" width="11.57"/>
    <col customWidth="1" min="9" max="9" width="18.0"/>
    <col customWidth="1" min="10" max="10" width="14.0"/>
    <col customWidth="1" min="11" max="11" width="26.0"/>
    <col customWidth="1" min="12" max="13" width="12.43"/>
    <col customWidth="1" min="14" max="15" width="24.14"/>
    <col customWidth="1" min="16" max="26" width="14.0"/>
  </cols>
  <sheetData>
    <row r="1" ht="14.25" customHeight="1"/>
    <row r="2" ht="14.25" customHeight="1"/>
    <row r="3" ht="14.25" customHeight="1">
      <c r="B3" s="115" t="s">
        <v>39</v>
      </c>
      <c r="C3" s="115" t="s">
        <v>121</v>
      </c>
      <c r="D3" s="115" t="s">
        <v>122</v>
      </c>
      <c r="E3" s="115" t="s">
        <v>123</v>
      </c>
      <c r="F3" s="115" t="s">
        <v>124</v>
      </c>
      <c r="G3" s="115" t="s">
        <v>40</v>
      </c>
      <c r="H3" s="115" t="s">
        <v>125</v>
      </c>
      <c r="I3" s="115" t="s">
        <v>126</v>
      </c>
      <c r="J3" s="115" t="s">
        <v>127</v>
      </c>
      <c r="K3" s="115" t="s">
        <v>128</v>
      </c>
      <c r="L3" s="116" t="s">
        <v>129</v>
      </c>
      <c r="M3" s="98"/>
      <c r="N3" s="98"/>
      <c r="O3" s="92"/>
    </row>
    <row r="4" ht="14.25" customHeight="1"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81" t="s">
        <v>130</v>
      </c>
      <c r="M4" s="81" t="s">
        <v>131</v>
      </c>
      <c r="N4" s="81" t="s">
        <v>64</v>
      </c>
      <c r="O4" s="117" t="s">
        <v>132</v>
      </c>
    </row>
    <row r="5" ht="14.25" customHeight="1">
      <c r="B5" s="118" t="s">
        <v>50</v>
      </c>
      <c r="C5" s="118" t="s">
        <v>89</v>
      </c>
      <c r="D5" s="118" t="s">
        <v>133</v>
      </c>
      <c r="E5" s="118" t="s">
        <v>134</v>
      </c>
      <c r="F5" s="118" t="s">
        <v>135</v>
      </c>
      <c r="G5" s="86" t="s">
        <v>136</v>
      </c>
      <c r="H5" s="118" t="s">
        <v>137</v>
      </c>
      <c r="I5" s="119" t="s">
        <v>138</v>
      </c>
      <c r="J5" s="118" t="s">
        <v>139</v>
      </c>
      <c r="K5" s="24" t="s">
        <v>93</v>
      </c>
      <c r="L5" s="120">
        <v>44755.0</v>
      </c>
      <c r="M5" s="120">
        <v>45138.0</v>
      </c>
      <c r="N5" s="121" t="str">
        <f t="shared" ref="N5:N8" si="1">IF(L5&lt;&gt;"",DATEDIF(L5,IF(M5="",TODAY(),M5),"Y")&amp;" Years "&amp;DATEDIF(L5,IF(M5="",TODAY(),M5),"YM")&amp;" Months "&amp;DATEDIF(L5,IF(M5="",TODAY(),M5),"MD")&amp;" Days","")</f>
        <v>1 Years 0 Months 18 Days</v>
      </c>
      <c r="O5" s="122" t="str">
        <f>IF(L5&lt;&gt;"",DATEDIF(L5,IF(M8="",TODAY(),M8),"Y")&amp;" Years "&amp;DATEDIF(L5,IF(M8="",TODAY(),M8),"YM")&amp;" Months "&amp;DATEDIF(L5,IF(M8="",TODAY(),M8),"MD")&amp;" Days","")</f>
        <v>3 Years 11 Months 2 Days</v>
      </c>
    </row>
    <row r="6" ht="14.25" customHeight="1">
      <c r="B6" s="118" t="s">
        <v>50</v>
      </c>
      <c r="C6" s="118" t="s">
        <v>89</v>
      </c>
      <c r="D6" s="118" t="s">
        <v>140</v>
      </c>
      <c r="E6" s="118" t="s">
        <v>141</v>
      </c>
      <c r="F6" s="123" t="s">
        <v>142</v>
      </c>
      <c r="G6" s="86" t="s">
        <v>55</v>
      </c>
      <c r="H6" s="118" t="s">
        <v>143</v>
      </c>
      <c r="I6" s="119" t="s">
        <v>144</v>
      </c>
      <c r="J6" s="118" t="s">
        <v>145</v>
      </c>
      <c r="K6" s="86" t="s">
        <v>146</v>
      </c>
      <c r="L6" s="120">
        <v>45139.0</v>
      </c>
      <c r="M6" s="120">
        <v>46015.0</v>
      </c>
      <c r="N6" s="121" t="str">
        <f t="shared" si="1"/>
        <v>2 Years 4 Months 23 Days</v>
      </c>
      <c r="O6" s="102"/>
    </row>
    <row r="7" ht="14.25" customHeight="1">
      <c r="B7" s="86" t="s">
        <v>58</v>
      </c>
      <c r="C7" s="86" t="s">
        <v>89</v>
      </c>
      <c r="D7" s="88">
        <v>48274.0</v>
      </c>
      <c r="E7" s="86" t="s">
        <v>141</v>
      </c>
      <c r="F7" s="86" t="s">
        <v>147</v>
      </c>
      <c r="G7" s="86" t="s">
        <v>55</v>
      </c>
      <c r="H7" s="86" t="s">
        <v>148</v>
      </c>
      <c r="I7" s="124" t="s">
        <v>149</v>
      </c>
      <c r="J7" s="86" t="s">
        <v>150</v>
      </c>
      <c r="K7" s="86" t="s">
        <v>151</v>
      </c>
      <c r="L7" s="120">
        <v>46020.0</v>
      </c>
      <c r="M7" s="120">
        <v>46170.0</v>
      </c>
      <c r="N7" s="121" t="str">
        <f t="shared" si="1"/>
        <v>0 Years 4 Months 29 Days</v>
      </c>
      <c r="O7" s="102"/>
    </row>
    <row r="8" ht="14.25" customHeight="1">
      <c r="B8" s="125" t="s">
        <v>152</v>
      </c>
      <c r="C8" s="125" t="s">
        <v>89</v>
      </c>
      <c r="D8" s="125" t="s">
        <v>153</v>
      </c>
      <c r="E8" s="125" t="s">
        <v>141</v>
      </c>
      <c r="F8" s="125" t="s">
        <v>154</v>
      </c>
      <c r="G8" s="125" t="s">
        <v>55</v>
      </c>
      <c r="H8" s="125" t="s">
        <v>148</v>
      </c>
      <c r="I8" s="124" t="s">
        <v>149</v>
      </c>
      <c r="J8" s="86" t="s">
        <v>150</v>
      </c>
      <c r="K8" s="125"/>
      <c r="L8" s="120">
        <v>46174.0</v>
      </c>
      <c r="M8" s="120">
        <f>TODAY()</f>
        <v>46188</v>
      </c>
      <c r="N8" s="121" t="str">
        <f t="shared" si="1"/>
        <v>0 Years 0 Months 14 Days</v>
      </c>
      <c r="O8" s="104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I3:I4"/>
    <mergeCell ref="J3:J4"/>
    <mergeCell ref="K3:K4"/>
    <mergeCell ref="L3:O3"/>
    <mergeCell ref="O5:O8"/>
    <mergeCell ref="B3:B4"/>
    <mergeCell ref="C3:C4"/>
    <mergeCell ref="D3:D4"/>
    <mergeCell ref="E3:E4"/>
    <mergeCell ref="F3:F4"/>
    <mergeCell ref="G3:G4"/>
    <mergeCell ref="H3:H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2025-01-05T03:18:00Z</dcterms:created>
  <dc:creator>pavan.mahanty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6E61228F8E164239ABAAF783BE9F522C_11</vt:lpwstr>
  </property>
  <property fmtid="{D5CDD505-2E9C-101B-9397-08002B2CF9AE}" pid="3" name="KSOProductBuildVer">
    <vt:lpwstr>1033-12.2.0.23196</vt:lpwstr>
  </property>
</Properties>
</file>